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3a\20jul2025coring\"/>
    </mc:Choice>
  </mc:AlternateContent>
  <xr:revisionPtr revIDLastSave="0" documentId="13_ncr:1_{54FA929A-DBA5-4F69-9F36-FC59980B3B70}" xr6:coauthVersionLast="47" xr6:coauthVersionMax="47" xr10:uidLastSave="{00000000-0000-0000-0000-000000000000}"/>
  <bookViews>
    <workbookView xWindow="-108" yWindow="-108" windowWidth="23256" windowHeight="12456" tabRatio="726" activeTab="1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<sst xmlns="http://schemas.openxmlformats.org/spreadsheetml/2006/main" count="656" uniqueCount="322">
  <si>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</si>
  <si>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</si>
  <si>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</si>
  <si>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</si>
  <si>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</si>
  <si>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</si>
  <si>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</si>
  <si>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</si>
  <si>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</si>
  <si>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</si>
  <si>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</si>
  <si>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</si>
  <si>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</si>
  <si>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</si>
  <si>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</si>
  <si>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</si>
  <si>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</si>
  <si>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</si>
  <si>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</si>
  <si>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</si>
  <si>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</si>
  <si>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</si>
  <si>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</si>
  <si>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</si>
  <si>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</si>
  <si>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</si>
  <si>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</si>
  <si>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</si>
  <si>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</si>
  <si>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</si>
  <si>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</si>
  <si>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</si>
  <si>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</si>
  <si>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</si>
  <si>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</si>
  <si>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</si>
  <si>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</si>
  <si>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</si>
  <si>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</si>
  <si>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</si>
  <si>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</si>
  <si>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</si>
  <si>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</si>
  <si>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</si>
  <si>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</si>
  <si>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</si>
  <si>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</si>
  <si>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</si>
  <si>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</si>
  <si>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</si>
  <si>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</si>
  <si>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</si>
  <si>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</si>
  <si>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</si>
  <si>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</si>
  <si>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</si>
  <si>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</si>
  <si>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</si>
  <si>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</si>
  <si>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</si>
  <si>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</si>
  <si>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</si>
  <si>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</si>
  <si>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</si>
  <si>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</si>
  <si>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</si>
  <si>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</si>
  <si>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</si>
  <si>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</si>
  <si>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</si>
  <si>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</si>
  <si>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</si>
  <si>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</si>
  <si>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</si>
  <si>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</si>
  <si>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</si>
  <si>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</si>
  <si>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</si>
  <si>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</si>
  <si>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</si>
  <si>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</si>
  <si>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</si>
  <si>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</si>
  <si>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</si>
  <si>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</si>
  <si>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</si>
  <si>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</si>
  <si>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</si>
  <si>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</si>
  <si>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</si>
  <si>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</si>
  <si>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</si>
  <si>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</si>
  <si>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</si>
  <si>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</si>
  <si>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</si>
  <si>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</si>
  <si>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</si>
  <si>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</si>
  <si>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</si>
  <si>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</si>
  <si>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</si>
  <si>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</si>
  <si>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</si>
  <si>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</si>
  <si>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</si>
  <si>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</si>
  <si>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</si>
  <si>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</si>
  <si>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</si>
  <si>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</si>
  <si>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</si>
  <si>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</si>
  <si>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</si>
  <si>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</si>
  <si>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</si>
  <si>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</si>
  <si>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</si>
  <si>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</si>
  <si>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</si>
  <si>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</si>
  <si>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</si>
  <si>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</si>
  <si>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</si>
  <si>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</si>
  <si>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</si>
  <si>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</si>
  <si>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</si>
  <si>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</si>
  <si>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</si>
  <si>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</si>
  <si>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</si>
  <si>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</si>
  <si>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</si>
  <si>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</si>
  <si>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</si>
  <si>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</si>
  <si>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</si>
  <si>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</si>
  <si>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</si>
  <si>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</si>
  <si>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</si>
  <si>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</si>
  <si>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</si>
  <si>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</si>
  <si>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</si>
  <si>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</si>
  <si>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</si>
  <si>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</si>
  <si>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</si>
  <si>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</si>
  <si>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</si>
  <si>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</si>
  <si>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</si>
  <si>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</si>
  <si>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</si>
  <si>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</si>
  <si>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</si>
  <si>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</si>
  <si>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</si>
  <si>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</si>
  <si>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</si>
  <si>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</si>
  <si>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</si>
  <si>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</si>
  <si>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</si>
  <si>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</si>
  <si>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</si>
  <si>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</si>
  <si>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</si>
  <si>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</si>
  <si>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</si>
  <si>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</si>
  <si>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</si>
  <si>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</si>
  <si>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</si>
  <si>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</si>
  <si>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</si>
  <si>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</si>
  <si>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</si>
  <si>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</si>
  <si>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</si>
  <si>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</si>
  <si>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</si>
  <si>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</si>
  <si>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</si>
  <si>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</si>
  <si>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</si>
  <si>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</si>
  <si>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</si>
  <si>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</si>
  <si>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</si>
  <si>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</si>
  <si>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</si>
  <si>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</si>
  <si>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</si>
  <si>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</si>
  <si>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</si>
  <si>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</si>
  <si>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</si>
  <si>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</si>
  <si>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</si>
  <si>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</si>
  <si>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</si>
  <si>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</si>
  <si>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</si>
  <si>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</si>
  <si>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</si>
  <si>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</si>
  <si>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</si>
  <si>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</si>
  <si>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</si>
  <si>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</si>
  <si>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</si>
  <si>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</si>
  <si>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</si>
  <si>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</si>
  <si>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</si>
  <si>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</si>
  <si>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</si>
  <si>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</si>
  <si>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</si>
  <si>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</si>
  <si>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</si>
  <si>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</si>
  <si>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</si>
  <si>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</si>
  <si>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</si>
  <si>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</si>
  <si>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</si>
  <si>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</si>
  <si>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</si>
  <si>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</si>
  <si>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</si>
  <si>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</si>
  <si>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</si>
  <si>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</si>
  <si>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</si>
  <si>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</si>
  <si>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</si>
  <si>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</si>
  <si>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</si>
  <si>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</si>
  <si>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</si>
  <si>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</si>
  <si>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</si>
  <si>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</si>
  <si>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</si>
  <si>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</si>
  <si>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</si>
  <si>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</si>
  <si>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</si>
  <si>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</si>
  <si>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</si>
  <si>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</si>
  <si>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</si>
  <si>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</si>
  <si>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</si>
  <si>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</si>
  <si>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</si>
  <si>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</si>
  <si>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</si>
  <si>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</si>
  <si>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</si>
  <si>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</si>
  <si>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</si>
  <si>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</si>
  <si>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</si>
  <si>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</si>
  <si>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</si>
  <si>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</si>
  <si>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</si>
  <si>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</si>
  <si>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</si>
  <si>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</si>
  <si>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</si>
  <si>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</si>
  <si>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</si>
  <si>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</si>
  <si>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</si>
  <si>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</si>
  <si>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</si>
  <si>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</si>
  <si>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</si>
  <si>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</si>
  <si>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</si>
  <si>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</si>
  <si>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</si>
  <si>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</si>
  <si>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</si>
  <si>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</si>
  <si>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</si>
  <si>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</si>
  <si>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</si>
  <si>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</si>
  <si>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</si>
  <si>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</si>
  <si>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CONTRATS-PS_149</t>
  </si>
  <si>
    <t>Dmitry Divine</t>
  </si>
  <si>
    <t>9 cm Kovacs</t>
  </si>
  <si>
    <t>Emiliano Cimoli</t>
  </si>
  <si>
    <t xml:space="preserve">T-probe </t>
  </si>
  <si>
    <t>Testo (NPI)</t>
  </si>
  <si>
    <t>Lena Eggers</t>
  </si>
  <si>
    <t>borehole</t>
  </si>
  <si>
    <t>all ECO and BGC cores</t>
  </si>
  <si>
    <t>20250720-PS149_18-1-SI_corer_9cm-019-SYI-RHO</t>
  </si>
  <si>
    <t>20250720-PS149_18-1-SI_corer_9cm-016-SYI-SALO18</t>
  </si>
  <si>
    <t>20250720-PS149_18-1-SI_corer_9cm-018-SYI-REP</t>
  </si>
  <si>
    <t>mark start 324</t>
  </si>
  <si>
    <t>Coring site SYI ice, level ice between the two melt ponds</t>
  </si>
  <si>
    <t xml:space="preserve"> longitude west!</t>
  </si>
  <si>
    <t>PS149-3a</t>
  </si>
  <si>
    <t>Ice Station 3a (event 18-1), coring on the main coring site.  The ice flow is a SYI or older, typical thickness 1.8 m and even thicker. Coring site on level ice some 80 m away of the ship.</t>
  </si>
  <si>
    <t>David Clemens-Sewall</t>
  </si>
  <si>
    <t>20250720-PS149_18-1-SI_corer_9cm-017-SYI-T</t>
  </si>
  <si>
    <t>break, sec1 ends</t>
  </si>
  <si>
    <t>sec2 starts</t>
  </si>
  <si>
    <t>section 1</t>
  </si>
  <si>
    <t>section 2</t>
  </si>
  <si>
    <t>T-core packed as 20250720-PS149_18-1-SI_corer_9cm-018-SYI-REP core, packed in 2 sections of 0.95 and 0.82 m long</t>
  </si>
  <si>
    <t>mark end 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</si>
</sst>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7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4"/>
  <sheetViews>
    <sheetView zoomScale="85" zoomScaleNormal="85" workbookViewId="0">
      <selection activeCell="G24" sqref="G24"/>
    </sheetView>
  </sheetViews>
  <sheetFormatPr defaultColWidth="13.625" defaultRowHeight="13.8"/>
  <cols>
    <col min="1" max="2" width="13.625" style="6"/>
    <col min="3" max="3" width="14.625" style="6" bestFit="1" customWidth="1"/>
    <col min="4" max="4" width="13.625" style="6"/>
    <col min="5" max="5" width="48.75" style="6" customWidth="1"/>
    <col min="6" max="1025" width="13.625" style="6"/>
  </cols>
  <sheetData>
    <row r="1" spans="1:6">
      <c r="A1" s="7" t="s">
        <v>0</v>
      </c>
      <c r="B1" s="8" t="s">
        <v>1</v>
      </c>
      <c r="C1" s="144" t="s">
        <v>315</v>
      </c>
      <c r="D1" s="144"/>
      <c r="E1" s="144"/>
      <c r="F1" s="9"/>
    </row>
    <row r="2" spans="1:6" ht="14.4">
      <c r="A2" s="7" t="s">
        <v>2</v>
      </c>
      <c r="B2" s="8"/>
      <c r="C2" s="10">
        <v>45858</v>
      </c>
      <c r="D2" s="11" t="s">
        <v>3</v>
      </c>
      <c r="E2" s="9"/>
      <c r="F2" s="9"/>
    </row>
    <row r="3" spans="1:6" ht="14.4">
      <c r="A3" s="7" t="s">
        <v>4</v>
      </c>
      <c r="B3" s="8"/>
      <c r="C3" s="12">
        <v>0.37569444444444444</v>
      </c>
      <c r="D3" s="11" t="s">
        <v>3</v>
      </c>
      <c r="E3" s="9"/>
      <c r="F3" s="9"/>
    </row>
    <row r="4" spans="1:6">
      <c r="A4" s="13" t="s">
        <v>5</v>
      </c>
      <c r="B4" s="14" t="s">
        <v>1</v>
      </c>
      <c r="C4" s="144" t="s">
        <v>320</v>
      </c>
      <c r="D4" s="144"/>
      <c r="E4" s="144"/>
      <c r="F4" s="9"/>
    </row>
    <row r="5" spans="1:6">
      <c r="A5" s="9"/>
      <c r="B5" s="9"/>
      <c r="C5" s="9"/>
      <c r="D5" s="9"/>
      <c r="E5" s="9"/>
      <c r="F5" s="9"/>
    </row>
    <row r="6" spans="1:6">
      <c r="A6" s="15" t="s">
        <v>6</v>
      </c>
      <c r="B6" s="9"/>
      <c r="C6" s="9"/>
      <c r="D6" s="9"/>
      <c r="E6" s="9"/>
      <c r="F6" s="9"/>
    </row>
    <row r="7" spans="1:6" ht="14.4">
      <c r="A7" s="7" t="s">
        <v>7</v>
      </c>
      <c r="B7" s="8" t="s">
        <v>8</v>
      </c>
      <c r="C7" s="16">
        <v>1.76</v>
      </c>
      <c r="D7" s="17" t="s">
        <v>9</v>
      </c>
      <c r="E7" s="9"/>
      <c r="F7" s="9"/>
    </row>
    <row r="8" spans="1:6" ht="14.4">
      <c r="A8" s="7" t="s">
        <v>10</v>
      </c>
      <c r="B8" s="8" t="s">
        <v>8</v>
      </c>
      <c r="C8" s="16">
        <v>1.61</v>
      </c>
      <c r="D8" s="17" t="s">
        <v>9</v>
      </c>
      <c r="E8" s="9"/>
      <c r="F8" s="9"/>
    </row>
    <row r="9" spans="1:6">
      <c r="A9" s="7" t="s">
        <v>11</v>
      </c>
      <c r="B9" s="8" t="s">
        <v>8</v>
      </c>
      <c r="C9" s="18"/>
      <c r="D9" s="9"/>
      <c r="E9" s="9"/>
      <c r="F9" s="9"/>
    </row>
    <row r="10" spans="1:6">
      <c r="A10" s="7" t="s">
        <v>12</v>
      </c>
      <c r="B10" s="8" t="s">
        <v>8</v>
      </c>
      <c r="C10" s="16">
        <v>1.78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19" t="s">
        <v>14</v>
      </c>
      <c r="B12" s="19"/>
      <c r="C12" s="19"/>
      <c r="D12" s="19"/>
      <c r="E12" s="19"/>
      <c r="F12" s="19"/>
    </row>
    <row r="13" spans="1:6">
      <c r="A13" s="19" t="s">
        <v>15</v>
      </c>
      <c r="B13" s="19"/>
      <c r="C13" s="144" t="s">
        <v>299</v>
      </c>
      <c r="D13" s="144"/>
      <c r="E13" s="144"/>
      <c r="F13" s="144"/>
    </row>
    <row r="14" spans="1:6">
      <c r="B14" s="6" t="s">
        <v>301</v>
      </c>
      <c r="C14" s="6" t="s">
        <v>302</v>
      </c>
      <c r="D14" s="5"/>
      <c r="E14" s="5"/>
      <c r="F14" s="5"/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abSelected="1" zoomScale="85" zoomScaleNormal="85" workbookViewId="0">
      <selection activeCell="J15" sqref="J15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5" t="s">
        <v>19</v>
      </c>
      <c r="B2" s="145"/>
      <c r="C2" s="145"/>
      <c r="D2" s="145"/>
      <c r="E2" s="145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6" t="s">
        <v>297</v>
      </c>
      <c r="D3" s="146"/>
      <c r="E3" s="146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47" t="s">
        <v>310</v>
      </c>
      <c r="D4" s="147"/>
      <c r="E4" s="147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5" t="s">
        <v>22</v>
      </c>
      <c r="B5" s="145"/>
      <c r="C5" s="145"/>
      <c r="D5" s="145"/>
      <c r="E5" s="145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48" t="s">
        <v>23</v>
      </c>
      <c r="D6" s="148"/>
      <c r="E6" s="148"/>
      <c r="F6" s="145" t="s">
        <v>24</v>
      </c>
      <c r="G6" s="145"/>
      <c r="H6" s="145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84</v>
      </c>
      <c r="D8" s="30">
        <v>28.040800000000001</v>
      </c>
      <c r="E8" s="31"/>
      <c r="F8">
        <v>84.467416</v>
      </c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-17</v>
      </c>
      <c r="D9" s="34">
        <v>56.649099999999997</v>
      </c>
      <c r="E9" s="35"/>
      <c r="F9">
        <v>-17.936005000000002</v>
      </c>
      <c r="G9" s="34"/>
      <c r="I9" s="22" t="s">
        <v>309</v>
      </c>
      <c r="J9" s="22" t="s">
        <v>321</v>
      </c>
      <c r="K9" s="22"/>
      <c r="L9" s="22" t="s">
        <v>311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9" t="s">
        <v>32</v>
      </c>
      <c r="B10" s="149"/>
      <c r="C10" s="149"/>
      <c r="D10" s="149"/>
      <c r="E10" s="149"/>
      <c r="F10" s="145"/>
      <c r="G10" s="145"/>
      <c r="H10" s="145"/>
      <c r="I10" s="14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45858</v>
      </c>
      <c r="D12" s="38">
        <v>45858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0.37569444444444444</v>
      </c>
      <c r="D13" s="39">
        <v>0.46302083333333333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9" t="s">
        <v>39</v>
      </c>
      <c r="B15" s="149"/>
      <c r="C15" s="149"/>
      <c r="D15" s="149"/>
      <c r="E15" s="149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0.09</v>
      </c>
      <c r="D16">
        <v>0.09</v>
      </c>
      <c r="E16">
        <v>0.08</v>
      </c>
      <c r="F16">
        <v>0.06</v>
      </c>
      <c r="G16">
        <v>7.0000000000000007E-2</v>
      </c>
      <c r="H16">
        <v>0.06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46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201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5" t="s">
        <v>53</v>
      </c>
      <c r="B24" s="145"/>
      <c r="C24" s="145"/>
      <c r="D24" s="145"/>
      <c r="E24" s="14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-0.1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-0.3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-0.6</v>
      </c>
      <c r="D28" s="49" t="s">
        <v>62</v>
      </c>
      <c r="E28" s="49"/>
      <c r="F28" s="22">
        <v>-1.6</v>
      </c>
      <c r="G28" s="22" t="s">
        <v>304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5" t="s">
        <v>63</v>
      </c>
      <c r="B29" s="145"/>
      <c r="C29" s="145"/>
      <c r="D29" s="145"/>
      <c r="E29" s="14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312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306</v>
      </c>
      <c r="D31" s="52" t="s">
        <v>307</v>
      </c>
      <c r="E31" s="52" t="s">
        <v>308</v>
      </c>
      <c r="F31" s="52" t="s">
        <v>315</v>
      </c>
      <c r="H31" s="52" t="s">
        <v>305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298</v>
      </c>
      <c r="D32" t="s">
        <v>300</v>
      </c>
      <c r="E32" t="s">
        <v>303</v>
      </c>
      <c r="F32" t="s">
        <v>314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50"/>
      <c r="D33" s="150"/>
      <c r="E33" s="150"/>
      <c r="F33" s="150"/>
      <c r="G33" s="150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5" t="s">
        <v>68</v>
      </c>
      <c r="B35" s="145"/>
      <c r="C35" s="145"/>
      <c r="D35" s="145"/>
      <c r="E35" s="14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2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51" t="s">
        <v>79</v>
      </c>
      <c r="B41" s="151"/>
      <c r="C41" s="151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52" t="s">
        <v>313</v>
      </c>
      <c r="B42" s="152"/>
      <c r="C42" s="152"/>
      <c r="D42" s="152"/>
      <c r="E42" s="152"/>
      <c r="F42" s="15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9:E29"/>
    <mergeCell ref="C33:G33"/>
    <mergeCell ref="A35:E35"/>
    <mergeCell ref="A41:C41"/>
    <mergeCell ref="A42:F42"/>
    <mergeCell ref="F6:H6"/>
    <mergeCell ref="A10:E10"/>
    <mergeCell ref="F10:I10"/>
    <mergeCell ref="A15:E15"/>
    <mergeCell ref="A24:E24"/>
    <mergeCell ref="A2:E2"/>
    <mergeCell ref="C3:E3"/>
    <mergeCell ref="C4:E4"/>
    <mergeCell ref="A5:E5"/>
    <mergeCell ref="C6:E6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N5" sqref="N5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/>
      <c r="B5" s="141"/>
      <c r="C5" s="142"/>
      <c r="E5" s="6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/>
      <c r="B6" s="142"/>
      <c r="C6" s="142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/>
      <c r="B7" s="141"/>
      <c r="C7" s="142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/>
      <c r="B8" s="142"/>
      <c r="C8" s="142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/>
      <c r="B9" s="141"/>
      <c r="C9" s="142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/>
      <c r="B10" s="142"/>
      <c r="C10" s="142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/>
      <c r="B11" s="141"/>
      <c r="C11" s="142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2"/>
      <c r="B12" s="142"/>
      <c r="C12" s="142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2"/>
      <c r="B13" s="142"/>
      <c r="C13" s="142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2"/>
      <c r="B14" s="142"/>
      <c r="C14" s="142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2"/>
      <c r="B15" s="142"/>
      <c r="C15" s="142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2"/>
      <c r="B16" s="142"/>
      <c r="C16" s="142"/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2"/>
      <c r="B17" s="142"/>
      <c r="C17" s="142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2"/>
      <c r="B18" s="142"/>
      <c r="C18" s="142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2"/>
      <c r="B19" s="142"/>
      <c r="C19" s="142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3"/>
      <c r="B20" s="142"/>
      <c r="C20" s="142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3"/>
      <c r="B21" s="142"/>
      <c r="C21" s="142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3"/>
      <c r="B22" s="142"/>
      <c r="C22" s="142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3"/>
      <c r="B23" s="142"/>
      <c r="C23" s="142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3"/>
      <c r="B24" s="142"/>
      <c r="C24" s="142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3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3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63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63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63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3"/>
      <c r="F46" s="15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C20" sqref="C20:E20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4" t="s">
        <v>95</v>
      </c>
      <c r="D2" s="154"/>
      <c r="E2" s="154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5" t="s">
        <v>1</v>
      </c>
      <c r="D3" s="155"/>
      <c r="E3" s="155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>
        <v>0</v>
      </c>
      <c r="B4" s="70">
        <v>-0.3</v>
      </c>
      <c r="C4" s="156"/>
      <c r="D4" s="156"/>
      <c r="E4" s="156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>
        <v>2.5000000000000001E-2</v>
      </c>
      <c r="B5" s="70">
        <v>-0.2</v>
      </c>
      <c r="C5" s="156"/>
      <c r="D5" s="156"/>
      <c r="E5" s="156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>
        <v>0.1</v>
      </c>
      <c r="B6" s="70">
        <v>-0.1</v>
      </c>
      <c r="C6" s="156"/>
      <c r="D6" s="156"/>
      <c r="E6" s="156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>
        <v>0.2</v>
      </c>
      <c r="B7" s="70">
        <v>-0.2</v>
      </c>
      <c r="C7" s="156"/>
      <c r="D7" s="156"/>
      <c r="E7" s="156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>
        <v>0.3</v>
      </c>
      <c r="B8" s="70">
        <v>-0.3</v>
      </c>
      <c r="C8" s="156"/>
      <c r="D8" s="156"/>
      <c r="E8" s="156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>
        <v>0.4</v>
      </c>
      <c r="B9" s="70">
        <v>-0.5</v>
      </c>
      <c r="C9" s="156"/>
      <c r="D9" s="156"/>
      <c r="E9" s="156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>
        <v>0.5</v>
      </c>
      <c r="B10" s="70">
        <v>-0.6</v>
      </c>
      <c r="C10" s="156"/>
      <c r="D10" s="156"/>
      <c r="E10" s="156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>
        <v>0.6</v>
      </c>
      <c r="B11" s="70">
        <v>-0.8</v>
      </c>
      <c r="C11" s="156"/>
      <c r="D11" s="156"/>
      <c r="E11" s="156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>
        <v>0.7</v>
      </c>
      <c r="B12" s="70">
        <v>-0.9</v>
      </c>
      <c r="C12" s="156"/>
      <c r="D12" s="156"/>
      <c r="E12" s="156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>
        <v>0.8</v>
      </c>
      <c r="B13" s="70">
        <v>-1</v>
      </c>
      <c r="C13" s="156"/>
      <c r="D13" s="156"/>
      <c r="E13" s="156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>
        <v>0.9</v>
      </c>
      <c r="B14" s="70">
        <v>-1</v>
      </c>
      <c r="C14" s="156"/>
      <c r="D14" s="156"/>
      <c r="E14" s="156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70">
        <v>1</v>
      </c>
      <c r="B15" s="70">
        <v>-1.1000000000000001</v>
      </c>
      <c r="C15" s="156" t="s">
        <v>316</v>
      </c>
      <c r="D15" s="156"/>
      <c r="E15" s="156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>
        <v>1.1000000000000001</v>
      </c>
      <c r="B16" s="70">
        <v>-1.1000000000000001</v>
      </c>
      <c r="C16" s="156" t="s">
        <v>317</v>
      </c>
      <c r="D16" s="156"/>
      <c r="E16" s="156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>
        <v>1.2</v>
      </c>
      <c r="B17" s="70">
        <v>-1.2</v>
      </c>
      <c r="C17" s="156"/>
      <c r="D17" s="156"/>
      <c r="E17" s="156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>
        <v>1.3</v>
      </c>
      <c r="B18" s="70">
        <v>-1.1000000000000001</v>
      </c>
      <c r="C18" s="156"/>
      <c r="D18" s="156"/>
      <c r="E18" s="156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>
        <v>1.4</v>
      </c>
      <c r="B19" s="70">
        <v>-0.9</v>
      </c>
      <c r="C19" s="156"/>
      <c r="D19" s="156"/>
      <c r="E19" s="156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>
        <v>1.5</v>
      </c>
      <c r="B20" s="70">
        <v>-1.1000000000000001</v>
      </c>
      <c r="C20" s="156"/>
      <c r="D20" s="156"/>
      <c r="E20" s="156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>
        <v>1.6</v>
      </c>
      <c r="B21" s="70">
        <v>-1.2</v>
      </c>
      <c r="C21" s="156"/>
      <c r="D21" s="156"/>
      <c r="E21" s="156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>
        <v>1.7</v>
      </c>
      <c r="B22" s="70">
        <v>-1.2</v>
      </c>
      <c r="C22" s="156"/>
      <c r="D22" s="156"/>
      <c r="E22" s="156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>
        <v>1.75</v>
      </c>
      <c r="B23" s="70">
        <v>-1</v>
      </c>
      <c r="C23" s="156"/>
      <c r="D23" s="156"/>
      <c r="E23" s="156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>
        <v>1.78</v>
      </c>
      <c r="B24" s="70">
        <v>-0.9</v>
      </c>
      <c r="C24" s="156"/>
      <c r="D24" s="156"/>
      <c r="E24" s="156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6"/>
      <c r="D25" s="156"/>
      <c r="E25" s="156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6"/>
      <c r="D26" s="156"/>
      <c r="E26" s="156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6"/>
      <c r="D27" s="156"/>
      <c r="E27" s="156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6"/>
      <c r="D28" s="156"/>
      <c r="E28" s="156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6"/>
      <c r="D29" s="156"/>
      <c r="E29" s="156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6"/>
      <c r="D30" s="156"/>
      <c r="E30" s="156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6"/>
      <c r="D31" s="156"/>
      <c r="E31" s="156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6"/>
      <c r="D32" s="156"/>
      <c r="E32" s="156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6"/>
      <c r="D33" s="156"/>
      <c r="E33" s="156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6"/>
      <c r="D34" s="156"/>
      <c r="E34" s="156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6"/>
      <c r="D35" s="156"/>
      <c r="E35" s="156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6"/>
      <c r="D36" s="156"/>
      <c r="E36" s="156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6"/>
      <c r="D37" s="156"/>
      <c r="E37" s="156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6"/>
      <c r="D38" s="156"/>
      <c r="E38" s="156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6"/>
      <c r="D39" s="156"/>
      <c r="E39" s="156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37:E37"/>
    <mergeCell ref="C38:E38"/>
    <mergeCell ref="C39:E39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C21:E21"/>
    <mergeCell ref="C12:E12"/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2:E2"/>
    <mergeCell ref="C3:E3"/>
    <mergeCell ref="C4:E4"/>
    <mergeCell ref="C5:E5"/>
    <mergeCell ref="C6:E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D14" sqref="D14:E14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7" t="s">
        <v>105</v>
      </c>
      <c r="E2" s="157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8" t="s">
        <v>106</v>
      </c>
      <c r="E3" s="158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1.02</v>
      </c>
      <c r="D4" s="159"/>
      <c r="E4" s="159"/>
      <c r="F4" s="6" t="s">
        <v>318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C5" s="6">
        <v>0.95</v>
      </c>
      <c r="D5" s="159" t="s">
        <v>181</v>
      </c>
      <c r="E5" s="15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1.02</v>
      </c>
      <c r="B6" s="6">
        <v>1.78</v>
      </c>
      <c r="D6" s="159"/>
      <c r="E6" s="159"/>
      <c r="F6" s="6" t="s">
        <v>319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1.7749999999999999</v>
      </c>
      <c r="B7" s="6">
        <v>1.78</v>
      </c>
      <c r="C7"/>
      <c r="D7" s="159" t="s">
        <v>233</v>
      </c>
      <c r="E7" s="159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9"/>
      <c r="E8" s="15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9"/>
      <c r="E9" s="15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9"/>
      <c r="E10" s="15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9"/>
      <c r="E11" s="15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9"/>
      <c r="E12" s="15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9"/>
      <c r="E13" s="15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9"/>
      <c r="E14" s="15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9"/>
      <c r="E15" s="15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9"/>
      <c r="E16" s="15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9"/>
      <c r="E17" s="15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9"/>
      <c r="E18" s="15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9"/>
      <c r="E19" s="15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9"/>
      <c r="E20" s="15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9"/>
      <c r="E21" s="15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9"/>
      <c r="E22" s="15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9"/>
      <c r="E23" s="15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9"/>
      <c r="E24" s="15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9"/>
      <c r="E25" s="15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9"/>
      <c r="E26" s="159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9"/>
      <c r="E27" s="159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9"/>
      <c r="E28" s="15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9"/>
      <c r="E29" s="15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9"/>
      <c r="E30" s="15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9"/>
      <c r="E31" s="15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9"/>
      <c r="E32" s="15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9"/>
      <c r="E33" s="15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9"/>
      <c r="E34" s="15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9"/>
      <c r="E35" s="15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9"/>
      <c r="E36" s="15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9"/>
      <c r="E37" s="15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9"/>
      <c r="E38" s="15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9"/>
      <c r="E39" s="15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9"/>
      <c r="E40" s="15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9"/>
      <c r="E41" s="15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9"/>
      <c r="E42" s="15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9"/>
      <c r="E43" s="15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9"/>
      <c r="E44" s="15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9"/>
      <c r="E45" s="15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9"/>
      <c r="E46" s="15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3"/>
      <c r="E47" s="153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47:E47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2:E2"/>
    <mergeCell ref="D3:E3"/>
    <mergeCell ref="D4:E4"/>
    <mergeCell ref="D5:E5"/>
    <mergeCell ref="D6:E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/>
      <c r="B4" s="141"/>
      <c r="C4" s="142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/>
      <c r="B5" s="141"/>
      <c r="C5" s="142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/>
      <c r="B6" s="141"/>
      <c r="C6" s="142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/>
      <c r="B7" s="141"/>
      <c r="C7" s="142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/>
      <c r="B8" s="141"/>
      <c r="C8" s="142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/>
      <c r="B9" s="141"/>
      <c r="C9" s="142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0" t="s">
        <v>122</v>
      </c>
      <c r="G2" s="160"/>
      <c r="H2" s="160" t="s">
        <v>123</v>
      </c>
      <c r="I2" s="160"/>
      <c r="J2" s="161" t="s">
        <v>124</v>
      </c>
      <c r="K2" s="161"/>
      <c r="L2" s="160" t="s">
        <v>125</v>
      </c>
      <c r="M2" s="160"/>
      <c r="N2" s="161" t="s">
        <v>126</v>
      </c>
      <c r="O2" s="161"/>
      <c r="P2" s="163" t="s">
        <v>127</v>
      </c>
      <c r="Q2" s="163"/>
      <c r="R2" s="157" t="s">
        <v>128</v>
      </c>
      <c r="S2" s="157"/>
      <c r="T2" s="163" t="s">
        <v>129</v>
      </c>
      <c r="U2" s="163"/>
      <c r="V2" s="157" t="s">
        <v>130</v>
      </c>
      <c r="W2" s="157"/>
      <c r="X2" s="163" t="s">
        <v>131</v>
      </c>
      <c r="Y2" s="163"/>
      <c r="Z2" s="162" t="s">
        <v>132</v>
      </c>
      <c r="AA2" s="162"/>
      <c r="AB2" s="162" t="s">
        <v>133</v>
      </c>
      <c r="AC2" s="162"/>
      <c r="AD2" s="163" t="s">
        <v>134</v>
      </c>
      <c r="AE2" s="163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Z2:AA2"/>
    <mergeCell ref="AB2:AC2"/>
    <mergeCell ref="AD2:AE2"/>
    <mergeCell ref="P2:Q2"/>
    <mergeCell ref="R2:S2"/>
    <mergeCell ref="T2:U2"/>
    <mergeCell ref="V2:W2"/>
    <mergeCell ref="X2:Y2"/>
    <mergeCell ref="F2:G2"/>
    <mergeCell ref="H2:I2"/>
    <mergeCell ref="J2:K2"/>
    <mergeCell ref="L2:M2"/>
    <mergeCell ref="N2:O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7" t="s">
        <v>92</v>
      </c>
      <c r="I1" s="157"/>
      <c r="J1" s="157" t="s">
        <v>93</v>
      </c>
      <c r="K1" s="157"/>
      <c r="L1" s="60"/>
      <c r="M1" s="58" t="s">
        <v>95</v>
      </c>
      <c r="N1" s="9"/>
      <c r="O1" s="19" t="s">
        <v>141</v>
      </c>
      <c r="P1" s="19"/>
      <c r="Q1" s="9"/>
      <c r="R1" s="160" t="s">
        <v>122</v>
      </c>
      <c r="S1" s="160"/>
      <c r="T1" s="9"/>
      <c r="U1" s="58" t="s">
        <v>85</v>
      </c>
      <c r="V1" s="58" t="s">
        <v>86</v>
      </c>
      <c r="W1" s="19"/>
      <c r="X1" s="9"/>
      <c r="Y1" s="164" t="s">
        <v>142</v>
      </c>
      <c r="Z1" s="164"/>
      <c r="AA1" s="164"/>
      <c r="AB1" s="9"/>
      <c r="AC1" s="165" t="s">
        <v>143</v>
      </c>
      <c r="AD1" s="165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6" t="s">
        <v>176</v>
      </c>
      <c r="J1" s="166"/>
      <c r="K1" s="166"/>
      <c r="L1" s="166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9" t="s">
        <v>3</v>
      </c>
      <c r="B14" t="s">
        <v>271</v>
      </c>
      <c r="F14" t="s">
        <v>272</v>
      </c>
    </row>
    <row r="15" spans="1:13" ht="14.4">
      <c r="A15" s="139" t="s">
        <v>273</v>
      </c>
      <c r="B15" t="s">
        <v>274</v>
      </c>
      <c r="F15" t="s">
        <v>275</v>
      </c>
    </row>
    <row r="16" spans="1:13" ht="14.4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2025-07-23T09:33:31Z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