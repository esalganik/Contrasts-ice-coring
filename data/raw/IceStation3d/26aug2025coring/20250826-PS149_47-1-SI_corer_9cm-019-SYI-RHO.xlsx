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cuments\MATLAB\Contrasts coring\Data\IceStation3d\26aug2025coring\"/>
    </mc:Choice>
  </mc:AlternateContent>
  <xr:revisionPtr revIDLastSave="0" documentId="13_ncr:1_{71CBB5A7-6041-48BA-AF2E-9504F1CB841C}" xr6:coauthVersionLast="47" xr6:coauthVersionMax="47" xr10:uidLastSave="{00000000-0000-0000-0000-000000000000}"/>
  <bookViews>
    <workbookView xWindow="-105" yWindow="0" windowWidth="19410" windowHeight="20985" tabRatio="726" activeTab="2"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G35" i="7" l="1"/>
  <c r="G34" i="7"/>
  <c r="G33" i="7"/>
  <c r="G32" i="7"/>
  <c r="G31" i="7"/>
  <c r="G30" i="7"/>
  <c r="G29" i="7"/>
  <c r="G28" i="7"/>
  <c r="G27" i="7"/>
  <c r="G26" i="7"/>
  <c r="G25" i="7"/>
  <c r="G24" i="7"/>
  <c r="G23" i="7"/>
  <c r="G22" i="7"/>
  <c r="G21" i="7"/>
  <c r="G20" i="7"/>
  <c r="G19" i="7"/>
  <c r="G18" i="7"/>
  <c r="G17" i="7"/>
  <c r="G16" i="7"/>
  <c r="G15" i="7"/>
  <c r="G14" i="7"/>
  <c r="G13" i="7"/>
  <c r="G12" i="7"/>
  <c r="G11" i="7"/>
  <c r="G10" i="7"/>
  <c r="G8" i="7"/>
  <c r="G9" i="7"/>
  <c r="G7" i="7"/>
  <c r="G6" i="7"/>
  <c r="G5" i="7"/>
  <c r="G4" i="7"/>
  <c r="E4" i="7"/>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B5" i="5"/>
</calcChain>
</file>

<file path=xl/sharedStrings.xml><?xml version="1.0" encoding="utf-8"?>
<sst xmlns="http://schemas.openxmlformats.org/spreadsheetml/2006/main" count="763" uniqueCount="373">
  <si>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</si>
  <si>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</si>
  <si>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</si>
  <si>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</si>
  <si>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</si>
  <si>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</si>
  <si>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</si>
  <si>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</si>
  <si>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</si>
  <si>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</si>
  <si>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</si>
  <si>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</si>
  <si>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</si>
  <si>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</si>
  <si>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</si>
  <si>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</si>
  <si>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</si>
  <si>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</si>
  <si>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</si>
  <si>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</si>
  <si>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</si>
  <si>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</si>
  <si>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</si>
  <si>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</si>
  <si>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</si>
  <si>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</si>
  <si>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</si>
  <si>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</si>
  <si>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</si>
  <si>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</si>
  <si>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</si>
  <si>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</si>
  <si>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</si>
  <si>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</si>
  <si>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</si>
  <si>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</si>
  <si>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</si>
  <si>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</si>
  <si>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</si>
  <si>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</si>
  <si>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</si>
  <si>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</si>
  <si>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</si>
  <si>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</si>
  <si>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</si>
  <si>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</si>
  <si>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</si>
  <si>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</si>
  <si>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</si>
  <si>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</si>
  <si>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</si>
  <si>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</si>
  <si>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</si>
  <si>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</si>
  <si>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</si>
  <si>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</si>
  <si>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</si>
  <si>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</si>
  <si>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</si>
  <si>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</si>
  <si>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</si>
  <si>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</si>
  <si>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</si>
  <si>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</si>
  <si>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</si>
  <si>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</si>
  <si>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</si>
  <si>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</si>
  <si>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</si>
  <si>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</si>
  <si>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</si>
  <si>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</si>
  <si>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</si>
  <si>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</si>
  <si>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</si>
  <si>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</si>
  <si>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</si>
  <si>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</si>
  <si>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</si>
  <si>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</si>
  <si>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</si>
  <si>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</si>
  <si>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</si>
  <si>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</si>
  <si>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</si>
  <si>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</si>
  <si>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</si>
  <si>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</si>
  <si>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</si>
  <si>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</si>
  <si>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</si>
  <si>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</si>
  <si>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</si>
  <si>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</si>
  <si>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</si>
  <si>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</si>
  <si>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</si>
  <si>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</si>
  <si>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</si>
  <si>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</si>
  <si>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</si>
  <si>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</si>
  <si>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</si>
  <si>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</si>
  <si>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</si>
  <si>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</si>
  <si>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</si>
  <si>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</si>
  <si>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</si>
  <si>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</si>
  <si>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</si>
  <si>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</si>
  <si>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</si>
  <si>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</si>
  <si>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</si>
  <si>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</si>
  <si>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</si>
  <si>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</si>
  <si>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</si>
  <si>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</si>
  <si>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</si>
  <si>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</si>
  <si>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</si>
  <si>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</si>
  <si>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</si>
  <si>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</si>
  <si>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</si>
  <si>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</si>
  <si>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</si>
  <si>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</si>
  <si>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</si>
  <si>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</si>
  <si>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</si>
  <si>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</si>
  <si>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</si>
  <si>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</si>
  <si>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</si>
  <si>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</si>
  <si>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</si>
  <si>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</si>
  <si>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</si>
  <si>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</si>
  <si>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</si>
  <si>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</si>
  <si>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</si>
  <si>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</si>
  <si>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</si>
  <si>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</si>
  <si>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</si>
  <si>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</si>
  <si>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</si>
  <si>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</si>
  <si>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</si>
  <si>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</si>
  <si>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</si>
  <si>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</si>
  <si>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</si>
  <si>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</si>
  <si>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</si>
  <si>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</si>
  <si>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</si>
  <si>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</si>
  <si>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</si>
  <si>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</si>
  <si>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</si>
  <si>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</si>
  <si>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</si>
  <si>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</si>
  <si>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</si>
  <si>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</si>
  <si>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</si>
  <si>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</si>
  <si>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</si>
  <si>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</si>
  <si>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</si>
  <si>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</si>
  <si>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</si>
  <si>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</si>
  <si>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</si>
  <si>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</si>
  <si>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</si>
  <si>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</si>
  <si>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</si>
  <si>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</si>
  <si>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</si>
  <si>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</si>
  <si>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</si>
  <si>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</si>
  <si>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</si>
  <si>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</si>
  <si>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</si>
  <si>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</si>
  <si>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</si>
  <si>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</si>
  <si>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</si>
  <si>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</si>
  <si>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</si>
  <si>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</si>
  <si>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</si>
  <si>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</si>
  <si>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</si>
  <si>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</si>
  <si>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</si>
  <si>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</si>
  <si>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</si>
  <si>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</si>
  <si>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</si>
  <si>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</si>
  <si>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</si>
  <si>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</si>
  <si>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</si>
  <si>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</si>
  <si>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</si>
  <si>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</si>
  <si>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</si>
  <si>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</si>
  <si>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</si>
  <si>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</si>
  <si>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</si>
  <si>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</si>
  <si>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</si>
  <si>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</si>
  <si>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</si>
  <si>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</si>
  <si>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</si>
  <si>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</si>
  <si>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</si>
  <si>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</si>
  <si>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</si>
  <si>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</si>
  <si>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</si>
  <si>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</si>
  <si>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</si>
  <si>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</si>
  <si>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</si>
  <si>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</si>
  <si>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</si>
  <si>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</si>
  <si>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</si>
  <si>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</si>
  <si>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</si>
  <si>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</si>
  <si>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</si>
  <si>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</si>
  <si>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</si>
  <si>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</si>
  <si>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</si>
  <si>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</si>
  <si>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</si>
  <si>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</si>
  <si>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</si>
  <si>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</si>
  <si>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</si>
  <si>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</si>
  <si>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</si>
  <si>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</si>
  <si>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</si>
  <si>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</si>
  <si>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</si>
  <si>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</si>
  <si>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</si>
  <si>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</si>
  <si>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</si>
  <si>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</si>
  <si>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</si>
  <si>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</si>
  <si>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</si>
  <si>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</si>
  <si>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</si>
  <si>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</si>
  <si>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</si>
  <si>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</si>
  <si>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</si>
  <si>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</si>
  <si>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</si>
  <si>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</si>
  <si>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</si>
  <si>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</si>
  <si>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</si>
  <si>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</si>
  <si>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</si>
  <si>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</si>
  <si>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</si>
  <si>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</si>
  <si>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</si>
  <si>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</si>
  <si>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</si>
  <si>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</si>
  <si>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</si>
  <si>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</si>
  <si>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</si>
  <si>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</si>
  <si>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</si>
  <si>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</si>
  <si>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</si>
  <si>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</si>
  <si>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</si>
  <si>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</si>
  <si>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Dmitry Divine</t>
  </si>
  <si>
    <t>9 cm Kovacs</t>
  </si>
  <si>
    <t xml:space="preserve">T-probe </t>
  </si>
  <si>
    <t>Testo (NPI)</t>
  </si>
  <si>
    <t>borehole</t>
  </si>
  <si>
    <t>Coring site SYI ice, level ice between the two melt ponds</t>
  </si>
  <si>
    <t xml:space="preserve"> longitude west!</t>
  </si>
  <si>
    <t>David Clemens-Sewall</t>
  </si>
  <si>
    <t>Salinity probe</t>
  </si>
  <si>
    <t>section 1</t>
  </si>
  <si>
    <t>section 2</t>
  </si>
  <si>
    <t>20250817-PS149_41-1-SI_corer_9cm-016-SYI-SALO18</t>
  </si>
  <si>
    <t>20250817-PS149_41-1-SI_corer_9cm-017-SYI-T</t>
  </si>
  <si>
    <t>20250817-PS149_41-1-SI_corer_9cm-018-SYI-REP</t>
  </si>
  <si>
    <t>20250817-PS149_41-1-SI_corer_9cm-019-SYI-RHO</t>
  </si>
  <si>
    <t>PS149-3d</t>
  </si>
  <si>
    <t>mark start 353,354</t>
  </si>
  <si>
    <t xml:space="preserve"> mark the end 355</t>
  </si>
  <si>
    <t>with SSL/superimposed ice</t>
  </si>
  <si>
    <t>Ice Station 3d (event 47-1), coring on the main coring site.  The ice floe is a SYI or older, typical thickness 1.8 m and even thicker on the first visit. Coring site on level ice some 80 m away of the ship and a few meters  away of the third coring spot; direction off the ship/main road. Older coring holes (visible on the photos) and surface disturbed during previous visits were avoided. Thickness of the ice is about 1.6 m. Almost no thickness changes from the previous visit. The surface is covered with new (1-3 days old) snow of 2-4 cm thick.  Scatterlayer /superimposed ice up to 10 cm thick (see core pictures) underneath.  The top layer was quite hard to cut. The ponds that were expanding on the second visit are all drained. Only older ponds from the prevous summer(s) stays.</t>
  </si>
  <si>
    <t>20250826-PS149_47-1-SI_corer_9cm-019-SYI-RHO</t>
  </si>
  <si>
    <t>densinometry</t>
  </si>
  <si>
    <t>Shimadzu balance UX4200H+SK101 specific gravity kit</t>
  </si>
  <si>
    <t>Cond 3110 S (NPI)</t>
  </si>
  <si>
    <t>J1</t>
  </si>
  <si>
    <t>J2</t>
  </si>
  <si>
    <t>J3</t>
  </si>
  <si>
    <t>J4</t>
  </si>
  <si>
    <t>J5</t>
  </si>
  <si>
    <t>J6</t>
  </si>
  <si>
    <t>J7</t>
  </si>
  <si>
    <t>J8</t>
  </si>
  <si>
    <t>J9</t>
  </si>
  <si>
    <t>J10</t>
  </si>
  <si>
    <t>J11</t>
  </si>
  <si>
    <t>J12</t>
  </si>
  <si>
    <t>J13</t>
  </si>
  <si>
    <t>J14</t>
  </si>
  <si>
    <t>J15</t>
  </si>
  <si>
    <t>J16</t>
  </si>
  <si>
    <t>J17</t>
  </si>
  <si>
    <t>J18</t>
  </si>
  <si>
    <t>J19</t>
  </si>
  <si>
    <t>C1</t>
  </si>
  <si>
    <t>C2</t>
  </si>
  <si>
    <t>C3</t>
  </si>
  <si>
    <t>C4</t>
  </si>
  <si>
    <t>C5</t>
  </si>
  <si>
    <t>C6</t>
  </si>
  <si>
    <t>C7</t>
  </si>
  <si>
    <t>C8</t>
  </si>
  <si>
    <t>C9</t>
  </si>
  <si>
    <t>C10</t>
  </si>
  <si>
    <t>C11</t>
  </si>
  <si>
    <t>C12</t>
  </si>
  <si>
    <t>C13</t>
  </si>
  <si>
    <t>rho_para(1st take)=</t>
  </si>
  <si>
    <t>rho_para(2nd take)=</t>
  </si>
  <si>
    <t>Tair=-23</t>
  </si>
  <si>
    <t>Tair=-25</t>
  </si>
  <si>
    <t>samples J5-J17 analyzed in the second round, other in the first round. Paraffine density measured right after each round</t>
  </si>
  <si>
    <t>packed on site. Brought onboard within 15 minutes from recover and cut right after. Analyzed for density the same day in the afternoon. Pictures of th ecore taken both onsite and in the freezer lab. Analyzis conducted in two rounds. Note immersion liquid density changes between the rounds. Most probably due to temperature variations in the lab.</t>
  </si>
  <si>
    <t>biased (wrong order of weighing, so when weighing in the air, the sample might contain some paraffine.  White. Bubbles out at immersion</t>
  </si>
  <si>
    <t>large bubbles;  bubbles out at immersion</t>
  </si>
  <si>
    <t>large bubbles;  nearly floats</t>
  </si>
  <si>
    <t>large bubbles</t>
  </si>
  <si>
    <t>large bubbles;  nearly floats; bubbles out at immersion</t>
  </si>
  <si>
    <t>large bubbles; metl channels</t>
  </si>
  <si>
    <t>small and large bubbles</t>
  </si>
  <si>
    <t>small and large bubbles; bubbles out at immersion</t>
  </si>
  <si>
    <t>sec1 ends;small and large bubbles; bubbles out at immersion</t>
  </si>
  <si>
    <t>melt channels; small bubbles</t>
  </si>
  <si>
    <t xml:space="preserve">clear ice with some small bubbles </t>
  </si>
  <si>
    <t>rho_parafine=0.8335</t>
  </si>
  <si>
    <t>Tlab=-24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</si>
</sst>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0" borderId="0" xfId="0" applyFont="1" applyAlignment="1">
      <alignment horizontal="left" vertical="center"/>
    </xf>
    <xf numFmtId="0" fontId="6" fillId="4" borderId="0" xfId="0" applyFont="1" applyFill="1" applyAlignment="1">
      <alignment horizont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6" fillId="4" borderId="0" xfId="0" applyFont="1" applyFill="1" applyAlignment="1">
      <alignment horizontal="center" vertic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1" fillId="4" borderId="0" xfId="0" applyFont="1" applyFill="1"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0" fillId="0" borderId="0" xfId="0"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1" fillId="0" borderId="0" xfId="0" applyFont="1" applyAlignment="1">
      <alignment horizontal="center"/>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profile RHO core SYI Station 3d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SALO18!$C$5:$C$36</c:f>
              <c:numCache>
                <c:formatCode>0.00</c:formatCode>
                <c:ptCount val="32"/>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0.52500000000000002</c:v>
                </c:pt>
                <c:pt idx="11">
                  <c:v>0.57499999999999996</c:v>
                </c:pt>
                <c:pt idx="12">
                  <c:v>0.625</c:v>
                </c:pt>
                <c:pt idx="13">
                  <c:v>0.67500000000000004</c:v>
                </c:pt>
                <c:pt idx="14">
                  <c:v>0.72499999999999998</c:v>
                </c:pt>
                <c:pt idx="15">
                  <c:v>0.77500000000000002</c:v>
                </c:pt>
                <c:pt idx="16">
                  <c:v>0.82499999999999996</c:v>
                </c:pt>
                <c:pt idx="17">
                  <c:v>0.875</c:v>
                </c:pt>
                <c:pt idx="18">
                  <c:v>0.91999999999999993</c:v>
                </c:pt>
                <c:pt idx="19">
                  <c:v>0.96499999999999997</c:v>
                </c:pt>
                <c:pt idx="20">
                  <c:v>1.0150000000000001</c:v>
                </c:pt>
                <c:pt idx="21">
                  <c:v>1.0649999999999999</c:v>
                </c:pt>
                <c:pt idx="22">
                  <c:v>1.115</c:v>
                </c:pt>
                <c:pt idx="23">
                  <c:v>1.165</c:v>
                </c:pt>
                <c:pt idx="24">
                  <c:v>1.2149999999999999</c:v>
                </c:pt>
                <c:pt idx="25">
                  <c:v>1.2650000000000001</c:v>
                </c:pt>
                <c:pt idx="26">
                  <c:v>1.3149999999999999</c:v>
                </c:pt>
                <c:pt idx="27">
                  <c:v>1.365</c:v>
                </c:pt>
                <c:pt idx="28">
                  <c:v>1.415</c:v>
                </c:pt>
                <c:pt idx="29">
                  <c:v>1.4649999999999999</c:v>
                </c:pt>
                <c:pt idx="30">
                  <c:v>1.5150000000000001</c:v>
                </c:pt>
                <c:pt idx="31">
                  <c:v>1.5649999999999999</c:v>
                </c:pt>
              </c:numCache>
            </c:numRef>
          </c:xVal>
          <c:yVal>
            <c:numRef>
              <c:f>SALO18!$E$5:$E$36</c:f>
              <c:numCache>
                <c:formatCode>General</c:formatCode>
                <c:ptCount val="32"/>
                <c:pt idx="0">
                  <c:v>0.6</c:v>
                </c:pt>
                <c:pt idx="1">
                  <c:v>0.3</c:v>
                </c:pt>
                <c:pt idx="2">
                  <c:v>0</c:v>
                </c:pt>
                <c:pt idx="3">
                  <c:v>0.1</c:v>
                </c:pt>
                <c:pt idx="4">
                  <c:v>0</c:v>
                </c:pt>
                <c:pt idx="5">
                  <c:v>0</c:v>
                </c:pt>
                <c:pt idx="6">
                  <c:v>0</c:v>
                </c:pt>
                <c:pt idx="7">
                  <c:v>0</c:v>
                </c:pt>
                <c:pt idx="8">
                  <c:v>0.2</c:v>
                </c:pt>
                <c:pt idx="9">
                  <c:v>0.4</c:v>
                </c:pt>
                <c:pt idx="10">
                  <c:v>0.6</c:v>
                </c:pt>
                <c:pt idx="11">
                  <c:v>0.8</c:v>
                </c:pt>
                <c:pt idx="12">
                  <c:v>1.1000000000000001</c:v>
                </c:pt>
                <c:pt idx="13">
                  <c:v>1.3</c:v>
                </c:pt>
                <c:pt idx="14">
                  <c:v>1.3</c:v>
                </c:pt>
                <c:pt idx="15">
                  <c:v>1.3</c:v>
                </c:pt>
                <c:pt idx="16">
                  <c:v>1.4</c:v>
                </c:pt>
                <c:pt idx="17">
                  <c:v>1.3</c:v>
                </c:pt>
                <c:pt idx="18">
                  <c:v>1.6</c:v>
                </c:pt>
                <c:pt idx="19">
                  <c:v>1.7</c:v>
                </c:pt>
                <c:pt idx="20">
                  <c:v>1.6</c:v>
                </c:pt>
                <c:pt idx="21">
                  <c:v>1.7</c:v>
                </c:pt>
                <c:pt idx="22">
                  <c:v>1.8</c:v>
                </c:pt>
                <c:pt idx="23">
                  <c:v>1.5</c:v>
                </c:pt>
                <c:pt idx="24">
                  <c:v>1.4</c:v>
                </c:pt>
                <c:pt idx="25">
                  <c:v>1.8</c:v>
                </c:pt>
                <c:pt idx="26">
                  <c:v>2.2000000000000002</c:v>
                </c:pt>
                <c:pt idx="27">
                  <c:v>2.4</c:v>
                </c:pt>
                <c:pt idx="28">
                  <c:v>2.5</c:v>
                </c:pt>
                <c:pt idx="29">
                  <c:v>2.5</c:v>
                </c:pt>
                <c:pt idx="30">
                  <c:v>2.4</c:v>
                </c:pt>
                <c:pt idx="31">
                  <c:v>2</c:v>
                </c:pt>
              </c:numCache>
            </c:numRef>
          </c:yVal>
          <c:smooth val="1"/>
          <c:extLst>
            <c:ext xmlns:c16="http://schemas.microsoft.com/office/drawing/2014/chart" uri="{C3380CC4-5D6E-409C-BE32-E72D297353CC}">
              <c16:uniqueId val="{00000000-F48E-4BF8-8433-BEF12F3B0D40}"/>
            </c:ext>
          </c:extLst>
        </c:ser>
        <c:dLbls>
          <c:showLegendKey val="0"/>
          <c:showVal val="0"/>
          <c:showCatName val="0"/>
          <c:showSerName val="0"/>
          <c:showPercent val="0"/>
          <c:showBubbleSize val="0"/>
        </c:dLbls>
        <c:axId val="1594004303"/>
        <c:axId val="1593994703"/>
      </c:scatterChart>
      <c:valAx>
        <c:axId val="15940043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994703"/>
        <c:crosses val="autoZero"/>
        <c:crossBetween val="midCat"/>
      </c:valAx>
      <c:valAx>
        <c:axId val="159399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0043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Density RHO core Station 3d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'Density-densimetry'!$C$4:$C$35</c:f>
              <c:numCache>
                <c:formatCode>0.00</c:formatCode>
                <c:ptCount val="32"/>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0.52500000000000002</c:v>
                </c:pt>
                <c:pt idx="11">
                  <c:v>0.57499999999999996</c:v>
                </c:pt>
                <c:pt idx="12">
                  <c:v>0.625</c:v>
                </c:pt>
                <c:pt idx="13">
                  <c:v>0.67500000000000004</c:v>
                </c:pt>
                <c:pt idx="14">
                  <c:v>0.72499999999999998</c:v>
                </c:pt>
                <c:pt idx="15">
                  <c:v>0.77500000000000002</c:v>
                </c:pt>
                <c:pt idx="16">
                  <c:v>0.82499999999999996</c:v>
                </c:pt>
                <c:pt idx="17">
                  <c:v>0.875</c:v>
                </c:pt>
                <c:pt idx="18">
                  <c:v>0.91999999999999993</c:v>
                </c:pt>
                <c:pt idx="19">
                  <c:v>0.96499999999999997</c:v>
                </c:pt>
                <c:pt idx="20">
                  <c:v>1.0150000000000001</c:v>
                </c:pt>
                <c:pt idx="21">
                  <c:v>1.0649999999999999</c:v>
                </c:pt>
                <c:pt idx="22">
                  <c:v>1.115</c:v>
                </c:pt>
                <c:pt idx="23">
                  <c:v>1.165</c:v>
                </c:pt>
                <c:pt idx="24">
                  <c:v>1.2149999999999999</c:v>
                </c:pt>
                <c:pt idx="25">
                  <c:v>1.2650000000000001</c:v>
                </c:pt>
                <c:pt idx="26">
                  <c:v>1.3149999999999999</c:v>
                </c:pt>
                <c:pt idx="27">
                  <c:v>1.365</c:v>
                </c:pt>
                <c:pt idx="28">
                  <c:v>1.415</c:v>
                </c:pt>
                <c:pt idx="29">
                  <c:v>1.4649999999999999</c:v>
                </c:pt>
                <c:pt idx="30">
                  <c:v>1.5150000000000001</c:v>
                </c:pt>
                <c:pt idx="31">
                  <c:v>1.5649999999999999</c:v>
                </c:pt>
              </c:numCache>
            </c:numRef>
          </c:xVal>
          <c:yVal>
            <c:numRef>
              <c:f>'Density-densimetry'!$G$4:$G$35</c:f>
              <c:numCache>
                <c:formatCode>General</c:formatCode>
                <c:ptCount val="32"/>
                <c:pt idx="0">
                  <c:v>0.88550855453516164</c:v>
                </c:pt>
                <c:pt idx="1">
                  <c:v>0.84502989736724676</c:v>
                </c:pt>
                <c:pt idx="2">
                  <c:v>0.87260750713994295</c:v>
                </c:pt>
                <c:pt idx="3">
                  <c:v>0.83914275034265062</c:v>
                </c:pt>
                <c:pt idx="4">
                  <c:v>0.84871585648148162</c:v>
                </c:pt>
                <c:pt idx="5">
                  <c:v>0.87040928588450239</c:v>
                </c:pt>
                <c:pt idx="6">
                  <c:v>0.89400048344210781</c:v>
                </c:pt>
                <c:pt idx="7">
                  <c:v>0.90293520272830619</c:v>
                </c:pt>
                <c:pt idx="8">
                  <c:v>0.9010818982779335</c:v>
                </c:pt>
                <c:pt idx="9">
                  <c:v>0.86740326558211689</c:v>
                </c:pt>
                <c:pt idx="10">
                  <c:v>0.90361022280471825</c:v>
                </c:pt>
                <c:pt idx="11">
                  <c:v>0.85054050405040504</c:v>
                </c:pt>
                <c:pt idx="12">
                  <c:v>0.87442032007212889</c:v>
                </c:pt>
                <c:pt idx="13">
                  <c:v>0.89686935991605454</c:v>
                </c:pt>
                <c:pt idx="14">
                  <c:v>0.90012952500977794</c:v>
                </c:pt>
                <c:pt idx="15">
                  <c:v>0.86640646914446007</c:v>
                </c:pt>
                <c:pt idx="16">
                  <c:v>0.8942512327518336</c:v>
                </c:pt>
                <c:pt idx="17">
                  <c:v>0.89034192900200937</c:v>
                </c:pt>
                <c:pt idx="18">
                  <c:v>0.90940130090497728</c:v>
                </c:pt>
                <c:pt idx="19">
                  <c:v>0.90212079002079015</c:v>
                </c:pt>
                <c:pt idx="20">
                  <c:v>0.90673103554392975</c:v>
                </c:pt>
                <c:pt idx="21">
                  <c:v>0.91187732121691034</c:v>
                </c:pt>
                <c:pt idx="22">
                  <c:v>0.9102791345329907</c:v>
                </c:pt>
                <c:pt idx="23">
                  <c:v>0.91410525218841177</c:v>
                </c:pt>
                <c:pt idx="24">
                  <c:v>0.91516275303643724</c:v>
                </c:pt>
                <c:pt idx="25">
                  <c:v>0.91472664779619894</c:v>
                </c:pt>
                <c:pt idx="26">
                  <c:v>0.90782396001824905</c:v>
                </c:pt>
                <c:pt idx="27">
                  <c:v>0.91352865275142325</c:v>
                </c:pt>
                <c:pt idx="28">
                  <c:v>0.91596701978812711</c:v>
                </c:pt>
                <c:pt idx="29">
                  <c:v>0.91456196078431373</c:v>
                </c:pt>
                <c:pt idx="30">
                  <c:v>0.91348060432829736</c:v>
                </c:pt>
                <c:pt idx="31">
                  <c:v>0.91490978308284099</c:v>
                </c:pt>
              </c:numCache>
            </c:numRef>
          </c:yVal>
          <c:smooth val="1"/>
          <c:extLst>
            <c:ext xmlns:c16="http://schemas.microsoft.com/office/drawing/2014/chart" uri="{C3380CC4-5D6E-409C-BE32-E72D297353CC}">
              <c16:uniqueId val="{00000000-70E2-469E-85FD-2ACF85317E82}"/>
            </c:ext>
          </c:extLst>
        </c:ser>
        <c:dLbls>
          <c:showLegendKey val="0"/>
          <c:showVal val="0"/>
          <c:showCatName val="0"/>
          <c:showSerName val="0"/>
          <c:showPercent val="0"/>
          <c:showBubbleSize val="0"/>
        </c:dLbls>
        <c:axId val="610764176"/>
        <c:axId val="610765136"/>
      </c:scatterChart>
      <c:valAx>
        <c:axId val="6107641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65136"/>
        <c:crosses val="autoZero"/>
        <c:crossBetween val="midCat"/>
      </c:valAx>
      <c:valAx>
        <c:axId val="61076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641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14</xdr:col>
      <xdr:colOff>89646</xdr:colOff>
      <xdr:row>8</xdr:row>
      <xdr:rowOff>170329</xdr:rowOff>
    </xdr:from>
    <xdr:to>
      <xdr:col>21</xdr:col>
      <xdr:colOff>80682</xdr:colOff>
      <xdr:row>24</xdr:row>
      <xdr:rowOff>44824</xdr:rowOff>
    </xdr:to>
    <xdr:graphicFrame macro="">
      <xdr:nvGraphicFramePr>
        <xdr:cNvPr id="2" name="Chart 1">
          <a:extLst>
            <a:ext uri="{FF2B5EF4-FFF2-40B4-BE49-F238E27FC236}">
              <a16:creationId xmlns:a16="http://schemas.microsoft.com/office/drawing/2014/main" id="{3309C991-0541-09B1-DE35-B901D2BF9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600634</xdr:colOff>
      <xdr:row>4</xdr:row>
      <xdr:rowOff>116541</xdr:rowOff>
    </xdr:from>
    <xdr:to>
      <xdr:col>19</xdr:col>
      <xdr:colOff>466164</xdr:colOff>
      <xdr:row>19</xdr:row>
      <xdr:rowOff>170329</xdr:rowOff>
    </xdr:to>
    <xdr:graphicFrame macro="">
      <xdr:nvGraphicFramePr>
        <xdr:cNvPr id="2" name="Chart 1">
          <a:extLst>
            <a:ext uri="{FF2B5EF4-FFF2-40B4-BE49-F238E27FC236}">
              <a16:creationId xmlns:a16="http://schemas.microsoft.com/office/drawing/2014/main" id="{5DF228F8-9F54-9F32-AE6B-53CE263B3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6"/>
  <sheetViews>
    <sheetView zoomScale="85" zoomScaleNormal="85" workbookViewId="0">
      <selection activeCell="C4" sqref="C4:E4"/>
    </sheetView>
  </sheetViews>
  <sheetFormatPr defaultColWidth="13.5703125" defaultRowHeight="14.25"/>
  <cols>
    <col min="1" max="2" width="13.5703125" style="6"/>
    <col min="3" max="3" width="14.5703125" style="6" bestFit="1" customWidth="1"/>
    <col min="4" max="1025" width="13.5703125" style="6"/>
  </cols>
  <sheetData>
    <row r="1" spans="1:7" ht="15">
      <c r="A1" s="7" t="s">
        <v>0</v>
      </c>
      <c r="B1" s="8" t="s">
        <v>1</v>
      </c>
      <c r="C1" s="143" t="s">
        <v>318</v>
      </c>
      <c r="D1" s="143"/>
      <c r="E1" s="143"/>
      <c r="F1" s="9"/>
    </row>
    <row r="2" spans="1:7" ht="15">
      <c r="A2" s="7" t="s">
        <v>2</v>
      </c>
      <c r="B2" s="8"/>
      <c r="C2" s="10">
        <v>45895</v>
      </c>
      <c r="D2" s="11" t="s">
        <v>3</v>
      </c>
      <c r="E2" s="9"/>
      <c r="F2" s="9"/>
    </row>
    <row r="3" spans="1:7" ht="15">
      <c r="A3" s="7" t="s">
        <v>4</v>
      </c>
      <c r="B3" s="8"/>
      <c r="C3" s="12">
        <v>0.36875000000000002</v>
      </c>
      <c r="D3" s="11" t="s">
        <v>3</v>
      </c>
      <c r="E3" s="9"/>
      <c r="F3" s="9"/>
    </row>
    <row r="4" spans="1:7" ht="15">
      <c r="A4" s="13" t="s">
        <v>5</v>
      </c>
      <c r="B4" s="14" t="s">
        <v>1</v>
      </c>
      <c r="C4" s="143" t="s">
        <v>359</v>
      </c>
      <c r="D4" s="143"/>
      <c r="E4" s="143"/>
      <c r="F4" s="9"/>
    </row>
    <row r="5" spans="1:7">
      <c r="A5" s="9"/>
      <c r="B5" s="9"/>
      <c r="C5" s="9"/>
      <c r="D5" s="9"/>
      <c r="E5" s="9"/>
      <c r="F5" s="9"/>
    </row>
    <row r="6" spans="1:7" ht="15">
      <c r="A6" s="15" t="s">
        <v>6</v>
      </c>
      <c r="B6" s="9"/>
      <c r="C6" s="9"/>
      <c r="D6" s="9"/>
      <c r="E6" s="9"/>
      <c r="F6" s="9"/>
    </row>
    <row r="7" spans="1:7" ht="15">
      <c r="A7" s="7" t="s">
        <v>7</v>
      </c>
      <c r="B7" s="8" t="s">
        <v>8</v>
      </c>
      <c r="C7" s="16">
        <v>1.54</v>
      </c>
      <c r="D7" s="17" t="s">
        <v>9</v>
      </c>
      <c r="E7" s="9"/>
      <c r="F7" s="9"/>
    </row>
    <row r="8" spans="1:7" ht="15">
      <c r="A8" s="7" t="s">
        <v>10</v>
      </c>
      <c r="B8" s="8" t="s">
        <v>8</v>
      </c>
      <c r="C8" s="16">
        <v>1.36</v>
      </c>
      <c r="D8" s="17" t="s">
        <v>9</v>
      </c>
      <c r="E8" s="9"/>
      <c r="F8" s="9"/>
    </row>
    <row r="9" spans="1:7" ht="15">
      <c r="A9" s="7" t="s">
        <v>11</v>
      </c>
      <c r="B9" s="8" t="s">
        <v>8</v>
      </c>
      <c r="C9" s="18"/>
      <c r="D9" s="9"/>
      <c r="E9" s="9"/>
      <c r="F9" s="9"/>
    </row>
    <row r="10" spans="1:7" ht="15">
      <c r="A10" s="7" t="s">
        <v>12</v>
      </c>
      <c r="B10" s="8" t="s">
        <v>8</v>
      </c>
      <c r="C10" s="16">
        <v>1.59</v>
      </c>
      <c r="D10" s="9" t="s">
        <v>13</v>
      </c>
      <c r="E10" s="9"/>
      <c r="F10" s="9"/>
      <c r="G10" s="6" t="s">
        <v>316</v>
      </c>
    </row>
    <row r="11" spans="1:7">
      <c r="A11" s="9"/>
      <c r="B11" s="9"/>
      <c r="C11" s="9"/>
      <c r="D11" s="9"/>
      <c r="E11" s="9"/>
      <c r="F11" s="9"/>
    </row>
    <row r="12" spans="1:7" ht="15">
      <c r="A12" s="19" t="s">
        <v>14</v>
      </c>
      <c r="B12" s="19"/>
      <c r="C12" s="19"/>
      <c r="D12" s="19"/>
      <c r="E12" s="19"/>
      <c r="F12" s="19"/>
    </row>
    <row r="13" spans="1:7" ht="15">
      <c r="A13" s="19" t="s">
        <v>15</v>
      </c>
      <c r="B13" s="19"/>
      <c r="C13" s="143" t="s">
        <v>299</v>
      </c>
      <c r="D13" s="143"/>
      <c r="E13" s="143"/>
      <c r="F13" s="143"/>
    </row>
    <row r="14" spans="1:7">
      <c r="B14" s="6" t="s">
        <v>300</v>
      </c>
      <c r="C14" s="6" t="s">
        <v>301</v>
      </c>
      <c r="D14" s="5"/>
      <c r="E14" s="5"/>
      <c r="F14" s="5"/>
    </row>
    <row r="15" spans="1:7">
      <c r="B15" s="6" t="s">
        <v>306</v>
      </c>
      <c r="C15" s="6" t="s">
        <v>321</v>
      </c>
    </row>
    <row r="16" spans="1:7">
      <c r="B16" s="6" t="s">
        <v>319</v>
      </c>
      <c r="C16" s="6" t="s">
        <v>320</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11" zoomScale="85" zoomScaleNormal="85" workbookViewId="0">
      <selection activeCell="A42" sqref="A42:F42"/>
    </sheetView>
  </sheetViews>
  <sheetFormatPr defaultColWidth="8.85546875" defaultRowHeight="12"/>
  <cols>
    <col min="1" max="1" width="21.42578125" customWidth="1"/>
    <col min="2" max="2" width="12.140625" customWidth="1"/>
    <col min="3" max="5" width="12.5703125" customWidth="1"/>
    <col min="1024" max="1025" width="11.285156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5" t="s">
        <v>297</v>
      </c>
      <c r="D3" s="145"/>
      <c r="E3" s="145"/>
      <c r="F3" s="4"/>
      <c r="G3" s="4"/>
      <c r="H3" s="4"/>
      <c r="I3" s="4"/>
      <c r="J3" s="22"/>
      <c r="K3" s="22"/>
      <c r="L3" s="22"/>
      <c r="M3" s="22"/>
      <c r="N3" s="22"/>
      <c r="O3" s="22"/>
      <c r="P3" s="22"/>
      <c r="Q3" s="22"/>
      <c r="R3" s="22"/>
      <c r="S3" s="22"/>
      <c r="T3" s="22"/>
      <c r="U3" s="22"/>
      <c r="V3" s="22"/>
      <c r="W3" s="22"/>
      <c r="X3" s="22"/>
      <c r="Y3" s="22"/>
    </row>
    <row r="4" spans="1:25" ht="12.75" customHeight="1">
      <c r="A4" s="25" t="s">
        <v>21</v>
      </c>
      <c r="B4" s="26"/>
      <c r="C4" s="146" t="s">
        <v>303</v>
      </c>
      <c r="D4" s="146"/>
      <c r="E4" s="146"/>
      <c r="F4" s="4"/>
      <c r="G4" s="4"/>
      <c r="H4" s="4"/>
      <c r="I4" s="4"/>
      <c r="J4" s="22"/>
      <c r="K4" s="22"/>
      <c r="L4" s="22"/>
      <c r="M4" s="22"/>
      <c r="N4" s="22"/>
      <c r="O4" s="22"/>
      <c r="P4" s="22"/>
      <c r="Q4" s="22"/>
      <c r="R4" s="22"/>
      <c r="S4" s="22"/>
      <c r="T4" s="22"/>
      <c r="U4" s="22"/>
      <c r="V4" s="22"/>
      <c r="W4" s="22"/>
      <c r="X4" s="22"/>
      <c r="Y4" s="22"/>
    </row>
    <row r="5" spans="1:25" ht="25.9"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47" t="s">
        <v>23</v>
      </c>
      <c r="D6" s="147"/>
      <c r="E6" s="147"/>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82</v>
      </c>
      <c r="D8" s="30">
        <v>26.426600000000001</v>
      </c>
      <c r="E8" s="31"/>
      <c r="G8" s="30"/>
      <c r="H8" s="32"/>
      <c r="I8" s="22"/>
      <c r="J8" s="22"/>
      <c r="K8" s="22"/>
      <c r="L8" s="22"/>
      <c r="M8" s="22"/>
      <c r="N8" s="22"/>
      <c r="O8" s="22"/>
      <c r="P8" s="22"/>
      <c r="Q8" s="22"/>
      <c r="R8" s="22"/>
      <c r="S8" s="22"/>
      <c r="T8" s="22"/>
      <c r="U8" s="22"/>
      <c r="V8" s="22"/>
      <c r="W8" s="22"/>
      <c r="X8" s="22"/>
      <c r="Y8" s="22"/>
    </row>
    <row r="9" spans="1:25" ht="12.75" customHeight="1">
      <c r="A9" s="25" t="s">
        <v>30</v>
      </c>
      <c r="B9" s="33" t="s">
        <v>31</v>
      </c>
      <c r="C9">
        <v>-6</v>
      </c>
      <c r="D9" s="34">
        <v>0.59079999999999999</v>
      </c>
      <c r="E9" s="35"/>
      <c r="G9" s="34"/>
      <c r="I9" s="22" t="s">
        <v>314</v>
      </c>
      <c r="J9" s="22" t="s">
        <v>315</v>
      </c>
      <c r="K9" s="22"/>
      <c r="L9" s="22" t="s">
        <v>304</v>
      </c>
      <c r="M9" s="22"/>
      <c r="N9" s="22"/>
      <c r="O9" s="22"/>
      <c r="P9" s="22"/>
      <c r="Q9" s="22"/>
      <c r="R9" s="22"/>
      <c r="S9" s="22"/>
      <c r="T9" s="22"/>
      <c r="U9" s="22"/>
      <c r="V9" s="22"/>
      <c r="W9" s="22"/>
      <c r="X9" s="22"/>
      <c r="Y9" s="22"/>
    </row>
    <row r="10" spans="1:25" ht="23.45"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45895</v>
      </c>
      <c r="D12" s="38">
        <v>45895</v>
      </c>
      <c r="E12" s="22"/>
      <c r="F12" s="22"/>
      <c r="G12" s="22"/>
      <c r="H12" s="22"/>
      <c r="I12" s="22"/>
      <c r="J12" s="22"/>
      <c r="K12" s="22"/>
      <c r="L12" s="22"/>
      <c r="M12" s="22"/>
      <c r="N12" s="22"/>
      <c r="O12" s="22"/>
      <c r="P12" s="22"/>
      <c r="Q12" s="22"/>
      <c r="R12" s="22"/>
      <c r="S12" s="22"/>
      <c r="T12" s="22"/>
      <c r="U12" s="22"/>
      <c r="V12" s="22"/>
      <c r="W12" s="22"/>
      <c r="X12" s="22"/>
      <c r="Y12" s="22"/>
    </row>
    <row r="13" spans="1:25">
      <c r="A13" s="36" t="s">
        <v>35</v>
      </c>
      <c r="B13" s="37" t="s">
        <v>36</v>
      </c>
      <c r="C13" s="39">
        <v>0.36875000000000002</v>
      </c>
      <c r="D13" s="39">
        <v>0.42291666666666666</v>
      </c>
      <c r="E13" s="40"/>
      <c r="F13" s="22"/>
      <c r="G13" s="22"/>
      <c r="H13" s="22"/>
      <c r="I13" s="22"/>
      <c r="J13" s="22"/>
      <c r="K13" s="22"/>
      <c r="L13" s="22"/>
      <c r="M13" s="22"/>
      <c r="N13" s="22"/>
      <c r="O13" s="22"/>
      <c r="P13" s="22"/>
      <c r="Q13" s="22"/>
      <c r="R13" s="22"/>
      <c r="S13" s="22"/>
      <c r="T13" s="22"/>
      <c r="U13" s="22"/>
      <c r="V13" s="22"/>
      <c r="W13" s="22"/>
      <c r="X13" s="22"/>
      <c r="Y13" s="22"/>
    </row>
    <row r="14" spans="1:25">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c r="A16" s="36" t="s">
        <v>40</v>
      </c>
      <c r="B16" s="43" t="s">
        <v>8</v>
      </c>
      <c r="C16">
        <v>0.02</v>
      </c>
      <c r="D16">
        <v>0.02</v>
      </c>
      <c r="E16">
        <v>0.03</v>
      </c>
      <c r="F16">
        <v>0.03</v>
      </c>
      <c r="G16">
        <v>0.04</v>
      </c>
      <c r="I16" s="22"/>
      <c r="J16" s="22"/>
      <c r="K16" s="22"/>
      <c r="L16" s="22"/>
      <c r="M16" s="22"/>
      <c r="N16" s="22"/>
      <c r="O16" s="22"/>
      <c r="P16" s="22"/>
      <c r="Q16" s="22"/>
      <c r="R16" s="22"/>
      <c r="S16" s="22"/>
      <c r="T16" s="22"/>
      <c r="U16" s="22"/>
      <c r="V16" s="22"/>
      <c r="W16" s="22"/>
      <c r="X16" s="22"/>
      <c r="Y16" s="22"/>
    </row>
    <row r="17" spans="1:25">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c r="A20" s="45" t="s">
        <v>45</v>
      </c>
      <c r="B20" s="46" t="s">
        <v>1</v>
      </c>
      <c r="C20" s="48" t="s">
        <v>46</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51</v>
      </c>
      <c r="B23" s="43" t="s">
        <v>1</v>
      </c>
      <c r="C23" t="s">
        <v>238</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c r="A25" s="36" t="s">
        <v>54</v>
      </c>
      <c r="B25" s="43" t="s">
        <v>55</v>
      </c>
      <c r="C25">
        <v>-0.1</v>
      </c>
      <c r="D25" s="49" t="s">
        <v>56</v>
      </c>
      <c r="E25" s="49"/>
      <c r="F25" s="22"/>
      <c r="G25" s="22"/>
      <c r="H25" s="22"/>
      <c r="I25" s="22"/>
      <c r="J25" s="22"/>
      <c r="K25" s="22"/>
      <c r="L25" s="22"/>
      <c r="M25" s="22"/>
      <c r="N25" s="22"/>
      <c r="O25" s="22"/>
      <c r="P25" s="22"/>
      <c r="Q25" s="22"/>
      <c r="R25" s="22"/>
      <c r="S25" s="22"/>
      <c r="T25" s="22"/>
      <c r="U25" s="22"/>
      <c r="V25" s="22"/>
      <c r="W25" s="22"/>
      <c r="X25" s="22"/>
      <c r="Y25" s="22"/>
    </row>
    <row r="26" spans="1:25">
      <c r="A26" s="45" t="s">
        <v>57</v>
      </c>
      <c r="B26" s="46" t="s">
        <v>55</v>
      </c>
      <c r="C26" s="48">
        <v>-0.6</v>
      </c>
      <c r="D26" s="50" t="s">
        <v>58</v>
      </c>
      <c r="E26" s="50"/>
      <c r="F26" s="22"/>
      <c r="G26" s="22"/>
      <c r="H26" s="22"/>
      <c r="I26" s="22"/>
      <c r="J26" s="22"/>
      <c r="K26" s="22"/>
      <c r="L26" s="22"/>
      <c r="M26" s="22"/>
      <c r="N26" s="22"/>
      <c r="O26" s="22"/>
      <c r="P26" s="22"/>
      <c r="Q26" s="22"/>
      <c r="R26" s="22"/>
      <c r="S26" s="22"/>
      <c r="T26" s="22"/>
      <c r="U26" s="22"/>
      <c r="V26" s="22"/>
      <c r="W26" s="22"/>
      <c r="X26" s="22"/>
      <c r="Y26" s="22"/>
    </row>
    <row r="27" spans="1:25">
      <c r="A27" s="45" t="s">
        <v>59</v>
      </c>
      <c r="B27" s="46" t="s">
        <v>55</v>
      </c>
      <c r="C27" s="48">
        <v>-0.2</v>
      </c>
      <c r="D27" s="50" t="s">
        <v>60</v>
      </c>
      <c r="E27" s="50"/>
      <c r="F27" s="22"/>
      <c r="G27" s="22"/>
      <c r="H27" s="22"/>
      <c r="I27" s="22"/>
      <c r="J27" s="22"/>
      <c r="K27" s="22"/>
      <c r="L27" s="22"/>
      <c r="M27" s="22"/>
      <c r="N27" s="22"/>
      <c r="O27" s="22"/>
      <c r="P27" s="22"/>
      <c r="Q27" s="22"/>
      <c r="R27" s="22"/>
      <c r="S27" s="22"/>
      <c r="T27" s="22"/>
      <c r="U27" s="22"/>
      <c r="V27" s="22"/>
      <c r="W27" s="22"/>
      <c r="X27" s="22"/>
      <c r="Y27" s="22"/>
    </row>
    <row r="28" spans="1:25">
      <c r="A28" s="36" t="s">
        <v>61</v>
      </c>
      <c r="B28" s="43" t="s">
        <v>55</v>
      </c>
      <c r="C28">
        <v>-1.2</v>
      </c>
      <c r="D28" s="49" t="s">
        <v>62</v>
      </c>
      <c r="E28" s="49"/>
      <c r="F28" s="22">
        <v>-1.2</v>
      </c>
      <c r="G28" s="22" t="s">
        <v>302</v>
      </c>
      <c r="H28" s="22"/>
      <c r="I28" s="22"/>
      <c r="J28" s="22"/>
      <c r="K28" s="22"/>
      <c r="L28" s="22"/>
      <c r="M28" s="22"/>
      <c r="N28" s="22"/>
      <c r="O28" s="22"/>
      <c r="P28" s="22"/>
      <c r="Q28" s="22"/>
      <c r="R28" s="22"/>
      <c r="S28" s="22"/>
      <c r="T28" s="22"/>
      <c r="U28" s="22"/>
      <c r="V28" s="22"/>
      <c r="W28" s="22"/>
      <c r="X28" s="22"/>
      <c r="Y28" s="22"/>
    </row>
    <row r="29" spans="1:25" ht="24.2"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c r="A30" s="45" t="s">
        <v>64</v>
      </c>
      <c r="B30" s="51"/>
      <c r="C30" s="48" t="s">
        <v>313</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65</v>
      </c>
      <c r="B31" s="51"/>
      <c r="C31" s="52" t="s">
        <v>309</v>
      </c>
      <c r="D31" s="52" t="s">
        <v>310</v>
      </c>
      <c r="E31" s="52" t="s">
        <v>311</v>
      </c>
      <c r="F31" s="52" t="s">
        <v>312</v>
      </c>
      <c r="H31" s="52"/>
      <c r="I31" s="52"/>
      <c r="J31" s="52"/>
      <c r="K31" s="52"/>
      <c r="L31" s="52"/>
      <c r="M31" s="52"/>
      <c r="N31" s="52"/>
      <c r="O31" s="52"/>
      <c r="P31" s="52"/>
      <c r="Q31" s="52"/>
      <c r="R31" s="52"/>
      <c r="S31" s="52"/>
      <c r="T31" s="52"/>
      <c r="U31" s="52"/>
      <c r="V31" s="52"/>
      <c r="W31" s="22"/>
      <c r="X31" s="22"/>
      <c r="Y31" s="22"/>
    </row>
    <row r="32" spans="1:25">
      <c r="A32" s="45" t="s">
        <v>66</v>
      </c>
      <c r="B32" s="51"/>
      <c r="C32" s="48" t="s">
        <v>298</v>
      </c>
      <c r="D32" t="s">
        <v>305</v>
      </c>
      <c r="H32" s="22"/>
      <c r="I32" s="22"/>
      <c r="J32" s="22"/>
      <c r="K32" s="22"/>
      <c r="L32" s="22"/>
      <c r="M32" s="22"/>
      <c r="N32" s="22"/>
      <c r="O32" s="22"/>
      <c r="P32" s="22"/>
      <c r="Q32" s="22"/>
      <c r="R32" s="22"/>
      <c r="S32" s="22"/>
      <c r="T32" s="22"/>
      <c r="U32" s="22"/>
      <c r="V32" s="22"/>
      <c r="W32" s="22"/>
      <c r="X32" s="22"/>
      <c r="Y32" s="22"/>
    </row>
    <row r="33" spans="1:25">
      <c r="A33" s="36" t="s">
        <v>67</v>
      </c>
      <c r="B33" s="53"/>
      <c r="C33" s="149"/>
      <c r="D33" s="149"/>
      <c r="E33" s="149"/>
      <c r="F33" s="149"/>
      <c r="G33" s="149"/>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c r="A36" s="36" t="s">
        <v>69</v>
      </c>
      <c r="B36" s="54"/>
      <c r="C36">
        <v>3.6</v>
      </c>
      <c r="D36" s="22" t="s">
        <v>70</v>
      </c>
      <c r="E36" s="22"/>
      <c r="F36" s="22"/>
      <c r="G36" s="22"/>
      <c r="H36" s="22"/>
      <c r="I36" s="22"/>
      <c r="J36" s="22"/>
      <c r="K36" s="22"/>
      <c r="L36" s="22"/>
      <c r="M36" s="22"/>
      <c r="N36" s="22"/>
      <c r="O36" s="22"/>
      <c r="P36" s="22"/>
      <c r="Q36" s="22"/>
      <c r="R36" s="22"/>
      <c r="S36" s="22"/>
      <c r="T36" s="22"/>
      <c r="U36" s="22"/>
      <c r="V36" s="22"/>
      <c r="W36" s="22"/>
      <c r="X36" s="22"/>
      <c r="Y36" s="22"/>
    </row>
    <row r="37" spans="1:25">
      <c r="A37" s="45" t="s">
        <v>71</v>
      </c>
      <c r="B37" s="51"/>
      <c r="C37" s="48">
        <v>160</v>
      </c>
      <c r="D37" s="22" t="s">
        <v>72</v>
      </c>
      <c r="E37" s="22"/>
      <c r="F37" s="22"/>
      <c r="G37" s="22"/>
      <c r="H37" s="22"/>
      <c r="I37" s="22"/>
      <c r="J37" s="22"/>
      <c r="K37" s="22"/>
      <c r="L37" s="22"/>
      <c r="M37" s="22"/>
      <c r="N37" s="22"/>
      <c r="O37" s="22"/>
      <c r="P37" s="22"/>
      <c r="Q37" s="22"/>
      <c r="R37" s="22"/>
      <c r="S37" s="22"/>
      <c r="T37" s="22"/>
      <c r="U37" s="22"/>
      <c r="V37" s="22"/>
      <c r="W37" s="22"/>
      <c r="X37" s="22"/>
      <c r="Y37" s="22"/>
    </row>
    <row r="38" spans="1:25">
      <c r="A38" s="45" t="s">
        <v>73</v>
      </c>
      <c r="B38" s="51"/>
      <c r="C38" s="55" t="s">
        <v>236</v>
      </c>
      <c r="D38" s="22" t="s">
        <v>74</v>
      </c>
      <c r="E38" s="22"/>
      <c r="F38" s="22"/>
      <c r="G38" s="22"/>
      <c r="H38" s="22"/>
      <c r="I38" s="22"/>
      <c r="J38" s="22"/>
      <c r="K38" s="22"/>
      <c r="L38" s="22"/>
      <c r="M38" s="22"/>
      <c r="N38" s="22"/>
      <c r="O38" s="22"/>
      <c r="P38" s="22"/>
      <c r="Q38" s="22"/>
      <c r="R38" s="22"/>
      <c r="S38" s="22"/>
      <c r="T38" s="22"/>
      <c r="U38" s="22"/>
      <c r="V38" s="22"/>
      <c r="W38" s="22"/>
      <c r="X38" s="22"/>
      <c r="Y38" s="22"/>
    </row>
    <row r="39" spans="1:25">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c r="A41" s="150" t="s">
        <v>79</v>
      </c>
      <c r="B41" s="150"/>
      <c r="C41" s="150"/>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51" t="s">
        <v>317</v>
      </c>
      <c r="B42" s="151"/>
      <c r="C42" s="151"/>
      <c r="D42" s="151"/>
      <c r="E42" s="151"/>
      <c r="F42" s="151"/>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9:E29"/>
    <mergeCell ref="C33:G33"/>
    <mergeCell ref="A35:E35"/>
    <mergeCell ref="A41:C41"/>
    <mergeCell ref="A42:F42"/>
    <mergeCell ref="F6:H6"/>
    <mergeCell ref="A10:E10"/>
    <mergeCell ref="F10:I10"/>
    <mergeCell ref="A15:E15"/>
    <mergeCell ref="A24:E24"/>
    <mergeCell ref="A2:E2"/>
    <mergeCell ref="C3:E3"/>
    <mergeCell ref="C4:E4"/>
    <mergeCell ref="A5:E5"/>
    <mergeCell ref="C6:E6"/>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tabSelected="1" zoomScale="85" zoomScaleNormal="85" workbookViewId="0">
      <selection activeCell="H38" sqref="H38"/>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0">
        <v>0</v>
      </c>
      <c r="B5" s="140">
        <v>0.05</v>
      </c>
      <c r="C5" s="141">
        <f>AVERAGE(A5:B5)</f>
        <v>2.5000000000000001E-2</v>
      </c>
      <c r="D5" s="62" t="s">
        <v>322</v>
      </c>
      <c r="E5" s="6">
        <v>0.6</v>
      </c>
      <c r="F5" s="6">
        <v>1.28</v>
      </c>
      <c r="G5" s="6">
        <v>11.5</v>
      </c>
      <c r="O5" s="9"/>
      <c r="P5" s="9"/>
      <c r="Q5" s="9"/>
      <c r="R5" s="9"/>
      <c r="S5" s="9"/>
      <c r="T5" s="9"/>
      <c r="U5" s="9"/>
      <c r="V5" s="9"/>
      <c r="W5" s="9"/>
      <c r="X5" s="9"/>
      <c r="Y5" s="9"/>
      <c r="Z5" s="9"/>
      <c r="AA5" s="9"/>
      <c r="AB5" s="9"/>
    </row>
    <row r="6" spans="1:1024">
      <c r="A6" s="140">
        <v>0.05</v>
      </c>
      <c r="B6" s="141">
        <v>0.1</v>
      </c>
      <c r="C6" s="141">
        <f t="shared" ref="C6:C36" si="0">AVERAGE(A6:B6)</f>
        <v>7.5000000000000011E-2</v>
      </c>
      <c r="D6" s="62" t="s">
        <v>323</v>
      </c>
      <c r="E6" s="6">
        <v>0.3</v>
      </c>
      <c r="F6" s="6">
        <v>0.79500000000000004</v>
      </c>
      <c r="G6" s="6">
        <v>15.6</v>
      </c>
      <c r="O6" s="9"/>
      <c r="P6" s="9"/>
      <c r="Q6" s="9"/>
      <c r="R6" s="9"/>
      <c r="S6" s="9"/>
      <c r="T6" s="9"/>
      <c r="U6" s="9"/>
      <c r="V6" s="9"/>
      <c r="W6" s="9"/>
      <c r="X6" s="9"/>
      <c r="Y6" s="9"/>
      <c r="Z6" s="9"/>
      <c r="AA6" s="9"/>
      <c r="AB6" s="9"/>
    </row>
    <row r="7" spans="1:1024">
      <c r="A7" s="140">
        <v>0.1</v>
      </c>
      <c r="B7" s="140">
        <v>0.15</v>
      </c>
      <c r="C7" s="141">
        <f t="shared" si="0"/>
        <v>0.125</v>
      </c>
      <c r="D7" s="62" t="s">
        <v>324</v>
      </c>
      <c r="E7" s="6">
        <v>0</v>
      </c>
      <c r="F7" s="6">
        <v>0.28399999999999997</v>
      </c>
      <c r="G7" s="6">
        <v>13.7</v>
      </c>
      <c r="O7" s="9"/>
      <c r="P7" s="9"/>
      <c r="Q7" s="9"/>
      <c r="R7" s="9"/>
      <c r="S7" s="9"/>
      <c r="T7" s="9"/>
      <c r="U7" s="9"/>
      <c r="V7" s="9"/>
      <c r="W7" s="9"/>
      <c r="X7" s="9"/>
      <c r="Y7" s="9"/>
      <c r="Z7" s="9"/>
      <c r="AA7" s="9"/>
      <c r="AB7" s="9"/>
    </row>
    <row r="8" spans="1:1024">
      <c r="A8" s="140">
        <v>0.15</v>
      </c>
      <c r="B8" s="141">
        <v>0.2</v>
      </c>
      <c r="C8" s="141">
        <f t="shared" si="0"/>
        <v>0.17499999999999999</v>
      </c>
      <c r="D8" s="62" t="s">
        <v>325</v>
      </c>
      <c r="E8" s="6">
        <v>0.1</v>
      </c>
      <c r="F8" s="6">
        <v>0.41899999999999998</v>
      </c>
      <c r="G8" s="6">
        <v>9.5</v>
      </c>
      <c r="O8" s="9"/>
      <c r="P8" s="9"/>
      <c r="Q8" s="9"/>
      <c r="R8" s="9"/>
      <c r="S8" s="9"/>
      <c r="T8" s="9"/>
      <c r="U8" s="9"/>
      <c r="V8" s="9"/>
      <c r="W8" s="9"/>
      <c r="X8" s="9"/>
      <c r="Y8" s="9"/>
      <c r="Z8" s="9"/>
      <c r="AA8" s="9"/>
      <c r="AB8" s="9"/>
    </row>
    <row r="9" spans="1:1024">
      <c r="A9" s="140">
        <v>0.2</v>
      </c>
      <c r="B9" s="140">
        <v>0.25</v>
      </c>
      <c r="C9" s="141">
        <f t="shared" si="0"/>
        <v>0.22500000000000001</v>
      </c>
      <c r="D9" s="62" t="s">
        <v>326</v>
      </c>
      <c r="E9" s="6">
        <v>0</v>
      </c>
      <c r="F9" s="6">
        <v>0.28599999999999998</v>
      </c>
      <c r="G9" s="6">
        <v>9.8000000000000007</v>
      </c>
      <c r="O9" s="9"/>
      <c r="P9" s="9"/>
      <c r="Q9" s="9"/>
      <c r="R9" s="9"/>
      <c r="S9" s="9"/>
      <c r="T9" s="9"/>
      <c r="U9" s="9"/>
      <c r="V9" s="9"/>
      <c r="W9" s="9"/>
      <c r="X9" s="9"/>
      <c r="Y9" s="9"/>
      <c r="Z9" s="9"/>
      <c r="AA9" s="9"/>
      <c r="AB9" s="9"/>
    </row>
    <row r="10" spans="1:1024">
      <c r="A10" s="140">
        <v>0.25</v>
      </c>
      <c r="B10" s="141">
        <v>0.3</v>
      </c>
      <c r="C10" s="141">
        <f t="shared" si="0"/>
        <v>0.27500000000000002</v>
      </c>
      <c r="D10" s="62" t="s">
        <v>327</v>
      </c>
      <c r="E10" s="6">
        <v>0</v>
      </c>
      <c r="F10" s="6">
        <v>0.23</v>
      </c>
      <c r="G10" s="6">
        <v>11.1</v>
      </c>
      <c r="O10" s="9"/>
      <c r="P10" s="9"/>
      <c r="Q10" s="9"/>
      <c r="R10" s="9"/>
      <c r="S10" s="9"/>
      <c r="T10" s="9"/>
      <c r="U10" s="9"/>
      <c r="V10" s="9"/>
      <c r="W10" s="9"/>
      <c r="X10" s="9"/>
      <c r="Y10" s="9"/>
      <c r="Z10" s="9"/>
      <c r="AA10" s="9"/>
      <c r="AB10" s="9"/>
    </row>
    <row r="11" spans="1:1024">
      <c r="A11" s="140">
        <v>0.3</v>
      </c>
      <c r="B11" s="140">
        <v>0.35</v>
      </c>
      <c r="C11" s="141">
        <f t="shared" si="0"/>
        <v>0.32499999999999996</v>
      </c>
      <c r="D11" s="62" t="s">
        <v>328</v>
      </c>
      <c r="E11" s="6">
        <v>0</v>
      </c>
      <c r="F11" s="6">
        <v>0.13200000000000001</v>
      </c>
      <c r="G11" s="6">
        <v>6.1</v>
      </c>
      <c r="O11" s="9"/>
      <c r="P11" s="9"/>
      <c r="Q11" s="9"/>
      <c r="R11" s="9"/>
      <c r="S11" s="9"/>
      <c r="T11" s="9"/>
      <c r="U11" s="9"/>
      <c r="V11" s="9"/>
      <c r="W11" s="9"/>
      <c r="X11" s="9"/>
      <c r="Y11" s="9"/>
      <c r="Z11" s="9"/>
      <c r="AA11" s="9"/>
      <c r="AB11" s="9"/>
    </row>
    <row r="12" spans="1:1024">
      <c r="A12" s="140">
        <v>0.35</v>
      </c>
      <c r="B12" s="141">
        <v>0.4</v>
      </c>
      <c r="C12" s="141">
        <f t="shared" si="0"/>
        <v>0.375</v>
      </c>
      <c r="D12" s="62" t="s">
        <v>329</v>
      </c>
      <c r="E12" s="6">
        <v>0</v>
      </c>
      <c r="F12" s="6">
        <v>0.26600000000000001</v>
      </c>
      <c r="G12" s="6">
        <v>6</v>
      </c>
      <c r="O12" s="9"/>
      <c r="P12" s="9"/>
      <c r="Q12" s="9"/>
      <c r="R12" s="9"/>
      <c r="S12" s="9"/>
      <c r="T12" s="9"/>
      <c r="U12" s="9"/>
      <c r="V12" s="9"/>
      <c r="W12" s="9"/>
      <c r="X12" s="9"/>
      <c r="Y12" s="9"/>
      <c r="Z12" s="9"/>
      <c r="AA12" s="9"/>
      <c r="AB12" s="9"/>
    </row>
    <row r="13" spans="1:1024">
      <c r="A13" s="140">
        <v>0.4</v>
      </c>
      <c r="B13" s="140">
        <v>0.45</v>
      </c>
      <c r="C13" s="141">
        <f t="shared" si="0"/>
        <v>0.42500000000000004</v>
      </c>
      <c r="D13" s="62" t="s">
        <v>330</v>
      </c>
      <c r="E13" s="62">
        <v>0.2</v>
      </c>
      <c r="F13" s="6">
        <v>0.59399999999999997</v>
      </c>
      <c r="G13" s="6">
        <v>7.4</v>
      </c>
      <c r="O13" s="9"/>
      <c r="P13" s="9"/>
      <c r="Q13" s="9"/>
      <c r="R13" s="9"/>
      <c r="S13" s="9"/>
      <c r="T13" s="9"/>
      <c r="U13" s="9"/>
      <c r="V13" s="9"/>
      <c r="W13" s="9"/>
      <c r="X13" s="9"/>
      <c r="Y13" s="9"/>
      <c r="Z13" s="9"/>
      <c r="AA13" s="9"/>
      <c r="AB13" s="9"/>
    </row>
    <row r="14" spans="1:1024">
      <c r="A14" s="140">
        <v>0.45</v>
      </c>
      <c r="B14" s="141">
        <v>0.5</v>
      </c>
      <c r="C14" s="141">
        <f t="shared" si="0"/>
        <v>0.47499999999999998</v>
      </c>
      <c r="D14" s="62" t="s">
        <v>331</v>
      </c>
      <c r="E14" s="62">
        <v>0.4</v>
      </c>
      <c r="F14" s="6">
        <v>0.90900000000000003</v>
      </c>
      <c r="G14" s="6">
        <v>5.8</v>
      </c>
      <c r="O14" s="9"/>
      <c r="P14" s="9"/>
      <c r="Q14" s="9"/>
      <c r="R14" s="9"/>
      <c r="S14" s="9"/>
      <c r="T14" s="9"/>
      <c r="U14" s="9"/>
      <c r="V14" s="9"/>
      <c r="W14" s="9"/>
      <c r="X14" s="9"/>
      <c r="Y14" s="9"/>
      <c r="Z14" s="9"/>
      <c r="AA14" s="9"/>
      <c r="AB14" s="9"/>
    </row>
    <row r="15" spans="1:1024">
      <c r="A15" s="140">
        <v>0.5</v>
      </c>
      <c r="B15" s="140">
        <v>0.55000000000000004</v>
      </c>
      <c r="C15" s="141">
        <f t="shared" si="0"/>
        <v>0.52500000000000002</v>
      </c>
      <c r="D15" s="62" t="s">
        <v>332</v>
      </c>
      <c r="E15" s="62">
        <v>0.6</v>
      </c>
      <c r="F15" s="6">
        <v>1.3240000000000001</v>
      </c>
      <c r="G15" s="6">
        <v>7.9</v>
      </c>
      <c r="O15" s="9"/>
      <c r="P15" s="9"/>
      <c r="Q15" s="9"/>
      <c r="R15" s="9"/>
      <c r="S15" s="9"/>
      <c r="T15" s="9"/>
      <c r="U15" s="9"/>
      <c r="V15" s="9"/>
      <c r="W15" s="9"/>
      <c r="X15" s="9"/>
      <c r="Y15" s="9"/>
      <c r="Z15" s="9"/>
      <c r="AA15" s="9"/>
      <c r="AB15" s="9"/>
    </row>
    <row r="16" spans="1:1024">
      <c r="A16" s="140">
        <v>0.55000000000000004</v>
      </c>
      <c r="B16" s="141">
        <v>0.6</v>
      </c>
      <c r="C16" s="141">
        <f t="shared" si="0"/>
        <v>0.57499999999999996</v>
      </c>
      <c r="D16" s="62" t="s">
        <v>333</v>
      </c>
      <c r="E16" s="62">
        <v>0.8</v>
      </c>
      <c r="F16" s="6">
        <v>1.7769999999999999</v>
      </c>
      <c r="G16" s="6">
        <v>6.3</v>
      </c>
      <c r="M16" s="62"/>
      <c r="O16" s="9"/>
      <c r="P16" s="9"/>
      <c r="Q16" s="9"/>
      <c r="R16" s="9"/>
      <c r="S16" s="9"/>
      <c r="T16" s="9"/>
      <c r="U16" s="9"/>
      <c r="V16" s="9"/>
      <c r="W16" s="9"/>
      <c r="X16" s="9"/>
      <c r="Y16" s="9"/>
      <c r="Z16" s="9"/>
      <c r="AA16" s="9"/>
      <c r="AB16" s="9"/>
    </row>
    <row r="17" spans="1:28">
      <c r="A17" s="140">
        <v>0.6</v>
      </c>
      <c r="B17" s="140">
        <v>0.65</v>
      </c>
      <c r="C17" s="141">
        <f t="shared" si="0"/>
        <v>0.625</v>
      </c>
      <c r="D17" s="62" t="s">
        <v>334</v>
      </c>
      <c r="E17" s="62">
        <v>1.1000000000000001</v>
      </c>
      <c r="F17" s="6">
        <v>2.2200000000000002</v>
      </c>
      <c r="G17" s="6">
        <v>5.0999999999999996</v>
      </c>
      <c r="O17" s="9"/>
      <c r="P17" s="9"/>
      <c r="Q17" s="9"/>
      <c r="R17" s="9"/>
      <c r="S17" s="9"/>
      <c r="T17" s="9"/>
      <c r="U17" s="9"/>
      <c r="V17" s="9"/>
      <c r="W17" s="9"/>
      <c r="X17" s="9"/>
      <c r="Y17" s="9"/>
      <c r="Z17" s="9"/>
      <c r="AA17" s="9"/>
      <c r="AB17" s="9"/>
    </row>
    <row r="18" spans="1:28">
      <c r="A18" s="140">
        <v>0.65</v>
      </c>
      <c r="B18" s="141">
        <v>0.7</v>
      </c>
      <c r="C18" s="141">
        <f t="shared" si="0"/>
        <v>0.67500000000000004</v>
      </c>
      <c r="D18" s="62" t="s">
        <v>335</v>
      </c>
      <c r="E18" s="62">
        <v>1.3</v>
      </c>
      <c r="F18" s="6">
        <v>2.58</v>
      </c>
      <c r="G18" s="6">
        <v>5.9</v>
      </c>
      <c r="O18" s="9"/>
      <c r="P18" s="9"/>
      <c r="Q18" s="9"/>
      <c r="R18" s="9"/>
      <c r="S18" s="9"/>
      <c r="T18" s="9"/>
      <c r="U18" s="9"/>
      <c r="V18" s="9"/>
      <c r="W18" s="9"/>
      <c r="X18" s="9"/>
      <c r="Y18" s="9"/>
      <c r="Z18" s="9"/>
      <c r="AA18" s="9"/>
      <c r="AB18" s="9"/>
    </row>
    <row r="19" spans="1:28">
      <c r="A19" s="140">
        <v>0.7</v>
      </c>
      <c r="B19" s="140">
        <v>0.75</v>
      </c>
      <c r="C19" s="141">
        <f t="shared" si="0"/>
        <v>0.72499999999999998</v>
      </c>
      <c r="D19" s="62" t="s">
        <v>336</v>
      </c>
      <c r="E19" s="62">
        <v>1.3</v>
      </c>
      <c r="F19" s="6">
        <v>2.54</v>
      </c>
      <c r="G19" s="6">
        <v>7.7</v>
      </c>
      <c r="O19" s="9"/>
      <c r="P19" s="9"/>
      <c r="Q19" s="9"/>
      <c r="R19" s="9"/>
      <c r="S19" s="9"/>
      <c r="T19" s="9"/>
      <c r="U19" s="9"/>
      <c r="V19" s="9"/>
      <c r="W19" s="9"/>
      <c r="X19" s="9"/>
      <c r="Y19" s="9"/>
      <c r="Z19" s="9"/>
      <c r="AA19" s="9"/>
      <c r="AB19" s="9"/>
    </row>
    <row r="20" spans="1:28">
      <c r="A20" s="140">
        <v>0.75</v>
      </c>
      <c r="B20" s="141">
        <v>0.8</v>
      </c>
      <c r="C20" s="141">
        <f t="shared" si="0"/>
        <v>0.77500000000000002</v>
      </c>
      <c r="D20" s="62" t="s">
        <v>337</v>
      </c>
      <c r="E20" s="62">
        <v>1.3</v>
      </c>
      <c r="F20" s="6">
        <v>2.56</v>
      </c>
      <c r="G20" s="6">
        <v>5</v>
      </c>
      <c r="O20" s="9"/>
      <c r="P20" s="9"/>
      <c r="Q20" s="9"/>
      <c r="R20" s="9"/>
      <c r="S20" s="9"/>
      <c r="T20" s="9"/>
      <c r="U20" s="9"/>
      <c r="V20" s="9"/>
      <c r="W20" s="9"/>
      <c r="X20" s="9"/>
      <c r="Y20" s="9"/>
      <c r="Z20" s="9"/>
      <c r="AA20" s="9"/>
      <c r="AB20" s="9"/>
    </row>
    <row r="21" spans="1:28">
      <c r="A21" s="140">
        <v>0.8</v>
      </c>
      <c r="B21" s="140">
        <v>0.85</v>
      </c>
      <c r="C21" s="141">
        <f t="shared" si="0"/>
        <v>0.82499999999999996</v>
      </c>
      <c r="D21" s="62" t="s">
        <v>338</v>
      </c>
      <c r="E21" s="62">
        <v>1.4</v>
      </c>
      <c r="F21" s="6">
        <v>2.77</v>
      </c>
      <c r="G21" s="6">
        <v>10.199999999999999</v>
      </c>
      <c r="O21" s="9"/>
      <c r="P21" s="9"/>
      <c r="Q21" s="9"/>
      <c r="R21" s="9"/>
      <c r="S21" s="9"/>
      <c r="T21" s="9"/>
      <c r="U21" s="9"/>
      <c r="V21" s="9"/>
      <c r="W21" s="9"/>
      <c r="X21" s="9"/>
      <c r="Y21" s="9"/>
      <c r="Z21" s="9"/>
      <c r="AA21" s="9"/>
      <c r="AB21" s="9"/>
    </row>
    <row r="22" spans="1:28">
      <c r="A22" s="142">
        <v>0.85</v>
      </c>
      <c r="B22" s="141">
        <v>0.9</v>
      </c>
      <c r="C22" s="141">
        <f t="shared" si="0"/>
        <v>0.875</v>
      </c>
      <c r="D22" s="62" t="s">
        <v>339</v>
      </c>
      <c r="E22" s="62">
        <v>1.3</v>
      </c>
      <c r="F22" s="6">
        <v>2.71</v>
      </c>
      <c r="G22" s="6">
        <v>7.2</v>
      </c>
      <c r="O22" s="9"/>
      <c r="P22" s="9"/>
      <c r="Q22" s="9"/>
      <c r="R22" s="9"/>
      <c r="S22" s="9"/>
      <c r="T22" s="9"/>
      <c r="U22" s="9"/>
      <c r="V22" s="9"/>
      <c r="W22" s="9"/>
      <c r="X22" s="9"/>
      <c r="Y22" s="9"/>
      <c r="Z22" s="9"/>
      <c r="AA22" s="9"/>
      <c r="AB22" s="9"/>
    </row>
    <row r="23" spans="1:28">
      <c r="A23" s="142">
        <v>0.9</v>
      </c>
      <c r="B23" s="141">
        <v>0.94</v>
      </c>
      <c r="C23" s="141">
        <f t="shared" si="0"/>
        <v>0.91999999999999993</v>
      </c>
      <c r="D23" s="62" t="s">
        <v>340</v>
      </c>
      <c r="E23" s="62">
        <v>1.6</v>
      </c>
      <c r="F23" s="6">
        <v>3.1</v>
      </c>
      <c r="G23" s="6">
        <v>12.3</v>
      </c>
      <c r="O23" s="9"/>
      <c r="P23" s="9"/>
      <c r="Q23" s="9"/>
      <c r="R23" s="9"/>
      <c r="S23" s="9"/>
      <c r="T23" s="9"/>
      <c r="U23" s="9"/>
      <c r="V23" s="9"/>
      <c r="W23" s="9"/>
      <c r="X23" s="9"/>
      <c r="Y23" s="9"/>
      <c r="Z23" s="9"/>
      <c r="AA23" s="9"/>
      <c r="AB23" s="9"/>
    </row>
    <row r="24" spans="1:28">
      <c r="A24" s="142">
        <v>0.94</v>
      </c>
      <c r="B24" s="141">
        <v>0.99</v>
      </c>
      <c r="C24" s="141">
        <f t="shared" si="0"/>
        <v>0.96499999999999997</v>
      </c>
      <c r="D24" s="62" t="s">
        <v>341</v>
      </c>
      <c r="E24" s="62">
        <v>1.7</v>
      </c>
      <c r="F24" s="6">
        <v>3.35</v>
      </c>
      <c r="G24" s="6">
        <v>8.1</v>
      </c>
      <c r="O24" s="9"/>
      <c r="P24" s="9"/>
      <c r="Q24" s="9"/>
      <c r="R24" s="9"/>
      <c r="S24" s="9"/>
      <c r="T24" s="9"/>
      <c r="U24" s="9"/>
      <c r="V24" s="9"/>
      <c r="W24" s="9"/>
      <c r="X24" s="9"/>
      <c r="Y24" s="9"/>
      <c r="Z24" s="9"/>
      <c r="AA24" s="9"/>
      <c r="AB24" s="9"/>
    </row>
    <row r="25" spans="1:28">
      <c r="A25" s="140">
        <v>0.99</v>
      </c>
      <c r="B25" s="140">
        <v>1.04</v>
      </c>
      <c r="C25" s="141">
        <f t="shared" si="0"/>
        <v>1.0150000000000001</v>
      </c>
      <c r="D25" s="62" t="s">
        <v>342</v>
      </c>
      <c r="E25" s="62">
        <v>1.6</v>
      </c>
      <c r="F25" s="6">
        <v>3.18</v>
      </c>
      <c r="G25" s="6">
        <v>9.5</v>
      </c>
      <c r="O25" s="9"/>
      <c r="P25" s="9"/>
      <c r="Q25" s="9"/>
      <c r="R25" s="9"/>
      <c r="S25" s="9"/>
      <c r="T25" s="9"/>
      <c r="U25" s="9"/>
      <c r="V25" s="9"/>
      <c r="W25" s="9"/>
      <c r="X25" s="9"/>
      <c r="Y25" s="9"/>
      <c r="Z25" s="9"/>
      <c r="AA25" s="9"/>
      <c r="AB25" s="9"/>
    </row>
    <row r="26" spans="1:28">
      <c r="A26" s="142">
        <v>1.04</v>
      </c>
      <c r="B26" s="141">
        <v>1.0900000000000001</v>
      </c>
      <c r="C26" s="141">
        <f t="shared" si="0"/>
        <v>1.0649999999999999</v>
      </c>
      <c r="D26" s="62" t="s">
        <v>343</v>
      </c>
      <c r="E26" s="62">
        <v>1.7</v>
      </c>
      <c r="F26" s="6">
        <v>3.4</v>
      </c>
      <c r="G26" s="6">
        <v>4.8</v>
      </c>
      <c r="O26" s="9"/>
      <c r="P26" s="9"/>
      <c r="Q26" s="9"/>
      <c r="R26" s="9"/>
      <c r="S26" s="9"/>
      <c r="T26" s="9"/>
      <c r="U26" s="9"/>
      <c r="V26" s="9"/>
      <c r="W26" s="9"/>
      <c r="X26" s="9"/>
      <c r="Y26" s="9"/>
      <c r="Z26" s="9"/>
      <c r="AA26" s="9"/>
      <c r="AB26" s="9"/>
    </row>
    <row r="27" spans="1:28" ht="26.1" customHeight="1">
      <c r="A27" s="140">
        <v>1.0900000000000001</v>
      </c>
      <c r="B27" s="140">
        <v>1.1399999999999999</v>
      </c>
      <c r="C27" s="141">
        <f t="shared" si="0"/>
        <v>1.115</v>
      </c>
      <c r="D27" s="62" t="s">
        <v>344</v>
      </c>
      <c r="E27" s="62">
        <v>1.8</v>
      </c>
      <c r="F27" s="6">
        <v>3.54</v>
      </c>
      <c r="G27" s="6">
        <v>10.8</v>
      </c>
      <c r="O27" s="2"/>
      <c r="P27" s="2"/>
      <c r="Q27" s="2"/>
      <c r="R27" s="2"/>
      <c r="S27" s="2"/>
      <c r="T27" s="2"/>
      <c r="U27" s="2"/>
      <c r="V27" s="2"/>
      <c r="W27" s="2"/>
      <c r="X27" s="2"/>
      <c r="Y27" s="2"/>
      <c r="Z27" s="2"/>
      <c r="AA27" s="2"/>
      <c r="AB27" s="2"/>
    </row>
    <row r="28" spans="1:28">
      <c r="A28" s="142">
        <v>1.1399999999999999</v>
      </c>
      <c r="B28" s="141">
        <v>1.19</v>
      </c>
      <c r="C28" s="141">
        <f t="shared" si="0"/>
        <v>1.165</v>
      </c>
      <c r="D28" s="62" t="s">
        <v>345</v>
      </c>
      <c r="E28" s="62">
        <v>1.5</v>
      </c>
      <c r="F28" s="6">
        <v>2.94</v>
      </c>
      <c r="G28" s="6">
        <v>7.5</v>
      </c>
      <c r="O28" s="2"/>
      <c r="P28" s="2"/>
      <c r="Q28" s="2"/>
      <c r="R28" s="2"/>
      <c r="S28" s="2"/>
      <c r="T28" s="2"/>
      <c r="U28" s="2"/>
      <c r="V28" s="2"/>
      <c r="W28" s="2"/>
      <c r="X28" s="2"/>
      <c r="Y28" s="2"/>
      <c r="Z28" s="2"/>
      <c r="AA28" s="2"/>
      <c r="AB28" s="2"/>
    </row>
    <row r="29" spans="1:28">
      <c r="A29" s="140">
        <v>1.19</v>
      </c>
      <c r="B29" s="140">
        <v>1.24</v>
      </c>
      <c r="C29" s="141">
        <f t="shared" si="0"/>
        <v>1.2149999999999999</v>
      </c>
      <c r="D29" s="62" t="s">
        <v>346</v>
      </c>
      <c r="E29" s="62">
        <v>1.4</v>
      </c>
      <c r="F29" s="6">
        <v>2.75</v>
      </c>
      <c r="G29" s="6">
        <v>11.8</v>
      </c>
      <c r="O29" s="9"/>
      <c r="P29" s="9"/>
      <c r="Q29" s="9"/>
      <c r="R29" s="9"/>
      <c r="S29" s="9"/>
      <c r="T29" s="9"/>
      <c r="U29" s="9"/>
      <c r="V29" s="9"/>
      <c r="W29" s="9"/>
      <c r="X29" s="9"/>
      <c r="Y29" s="9"/>
      <c r="Z29" s="9"/>
      <c r="AA29" s="9"/>
      <c r="AB29" s="9"/>
    </row>
    <row r="30" spans="1:28">
      <c r="A30" s="142">
        <v>1.24</v>
      </c>
      <c r="B30" s="141">
        <v>1.29</v>
      </c>
      <c r="C30" s="141">
        <f t="shared" si="0"/>
        <v>1.2650000000000001</v>
      </c>
      <c r="D30" s="62" t="s">
        <v>347</v>
      </c>
      <c r="E30" s="62">
        <v>1.8</v>
      </c>
      <c r="F30" s="6">
        <v>3.55</v>
      </c>
      <c r="G30" s="6">
        <v>4.8</v>
      </c>
      <c r="O30" s="9"/>
      <c r="P30" s="9"/>
      <c r="Q30" s="9"/>
      <c r="R30" s="9"/>
      <c r="S30" s="9"/>
      <c r="T30" s="9"/>
      <c r="U30" s="9"/>
      <c r="V30" s="9"/>
      <c r="W30" s="9"/>
      <c r="X30" s="9"/>
      <c r="Y30" s="9"/>
      <c r="Z30" s="9"/>
      <c r="AA30" s="9"/>
      <c r="AB30" s="9"/>
    </row>
    <row r="31" spans="1:28">
      <c r="A31" s="140">
        <v>1.29</v>
      </c>
      <c r="B31" s="140">
        <v>1.34</v>
      </c>
      <c r="C31" s="141">
        <f t="shared" si="0"/>
        <v>1.3149999999999999</v>
      </c>
      <c r="D31" s="62" t="s">
        <v>348</v>
      </c>
      <c r="E31" s="62">
        <v>2.2000000000000002</v>
      </c>
      <c r="F31" s="6">
        <v>4.25</v>
      </c>
      <c r="G31" s="6">
        <v>7.7</v>
      </c>
      <c r="O31" s="9"/>
      <c r="P31" s="9"/>
      <c r="Q31" s="9"/>
      <c r="R31" s="9"/>
      <c r="S31" s="9"/>
      <c r="T31" s="9"/>
      <c r="U31" s="9"/>
      <c r="V31" s="9"/>
      <c r="W31" s="9"/>
      <c r="X31" s="9"/>
      <c r="Y31" s="9"/>
      <c r="Z31" s="9"/>
      <c r="AA31" s="9"/>
      <c r="AB31" s="9"/>
    </row>
    <row r="32" spans="1:28">
      <c r="A32" s="142">
        <v>1.34</v>
      </c>
      <c r="B32" s="141">
        <v>1.39</v>
      </c>
      <c r="C32" s="141">
        <f t="shared" si="0"/>
        <v>1.365</v>
      </c>
      <c r="D32" s="62" t="s">
        <v>349</v>
      </c>
      <c r="E32" s="62">
        <v>2.4</v>
      </c>
      <c r="F32" s="6">
        <v>4.57</v>
      </c>
      <c r="G32" s="6">
        <v>10.3</v>
      </c>
      <c r="O32" s="9"/>
      <c r="P32" s="9"/>
      <c r="Q32" s="9"/>
      <c r="R32" s="9"/>
      <c r="S32" s="9"/>
      <c r="T32" s="9"/>
      <c r="U32" s="9"/>
      <c r="V32" s="9"/>
      <c r="W32" s="9"/>
      <c r="X32" s="9"/>
      <c r="Y32" s="9"/>
      <c r="Z32" s="9"/>
      <c r="AA32" s="9"/>
      <c r="AB32" s="9"/>
    </row>
    <row r="33" spans="1:28">
      <c r="A33" s="140">
        <v>1.39</v>
      </c>
      <c r="B33" s="140">
        <v>1.44</v>
      </c>
      <c r="C33" s="141">
        <f t="shared" si="0"/>
        <v>1.415</v>
      </c>
      <c r="D33" s="62" t="s">
        <v>350</v>
      </c>
      <c r="E33" s="62">
        <v>2.5</v>
      </c>
      <c r="F33" s="6">
        <v>4.76</v>
      </c>
      <c r="G33" s="6">
        <v>10.3</v>
      </c>
      <c r="O33" s="9"/>
      <c r="P33" s="9"/>
      <c r="Q33" s="9"/>
      <c r="R33" s="9"/>
      <c r="S33" s="9"/>
      <c r="T33" s="9"/>
      <c r="U33" s="9"/>
      <c r="V33" s="9"/>
      <c r="W33" s="9"/>
      <c r="X33" s="9"/>
      <c r="Y33" s="9"/>
      <c r="Z33" s="9"/>
      <c r="AA33" s="9"/>
      <c r="AB33" s="9"/>
    </row>
    <row r="34" spans="1:28">
      <c r="A34" s="142">
        <v>1.44</v>
      </c>
      <c r="B34" s="141">
        <v>1.49</v>
      </c>
      <c r="C34" s="141">
        <f t="shared" si="0"/>
        <v>1.4649999999999999</v>
      </c>
      <c r="D34" s="62" t="s">
        <v>351</v>
      </c>
      <c r="E34" s="62">
        <v>2.5</v>
      </c>
      <c r="F34" s="6">
        <v>4.68</v>
      </c>
      <c r="G34" s="6">
        <v>10.4</v>
      </c>
      <c r="O34" s="9"/>
      <c r="P34" s="9"/>
      <c r="Q34" s="9"/>
      <c r="R34" s="9"/>
      <c r="S34" s="9"/>
      <c r="T34" s="9"/>
      <c r="U34" s="9"/>
      <c r="V34" s="9"/>
      <c r="W34" s="9"/>
      <c r="X34" s="9"/>
      <c r="Y34" s="9"/>
      <c r="Z34" s="9"/>
      <c r="AA34" s="9"/>
      <c r="AB34" s="9"/>
    </row>
    <row r="35" spans="1:28">
      <c r="A35" s="140">
        <v>1.49</v>
      </c>
      <c r="B35" s="140">
        <v>1.54</v>
      </c>
      <c r="C35" s="141">
        <f t="shared" si="0"/>
        <v>1.5150000000000001</v>
      </c>
      <c r="D35" s="62" t="s">
        <v>352</v>
      </c>
      <c r="E35" s="62">
        <v>2.4</v>
      </c>
      <c r="F35" s="6">
        <v>4.7</v>
      </c>
      <c r="G35" s="6">
        <v>7.1</v>
      </c>
      <c r="O35" s="9"/>
      <c r="P35" s="9"/>
      <c r="Q35" s="9"/>
      <c r="R35" s="9"/>
      <c r="S35" s="9"/>
      <c r="T35" s="9"/>
      <c r="U35" s="9"/>
      <c r="V35" s="9"/>
      <c r="W35" s="9"/>
      <c r="X35" s="9"/>
      <c r="Y35" s="9"/>
      <c r="Z35" s="9"/>
      <c r="AA35" s="9"/>
      <c r="AB35" s="9"/>
    </row>
    <row r="36" spans="1:28">
      <c r="A36" s="142">
        <v>1.54</v>
      </c>
      <c r="B36" s="141">
        <v>1.59</v>
      </c>
      <c r="C36" s="141">
        <f t="shared" si="0"/>
        <v>1.5649999999999999</v>
      </c>
      <c r="D36" s="62" t="s">
        <v>353</v>
      </c>
      <c r="E36" s="62">
        <v>2</v>
      </c>
      <c r="F36" s="6">
        <v>3.88</v>
      </c>
      <c r="G36" s="6">
        <v>10.7</v>
      </c>
      <c r="O36" s="9"/>
      <c r="P36" s="9"/>
      <c r="Q36" s="9"/>
      <c r="R36" s="9"/>
      <c r="S36" s="9"/>
      <c r="T36" s="9"/>
      <c r="U36" s="9"/>
      <c r="V36" s="9"/>
      <c r="W36" s="9"/>
      <c r="X36" s="9"/>
      <c r="Y36" s="9"/>
      <c r="Z36" s="9"/>
      <c r="AA36" s="9"/>
      <c r="AB36" s="9"/>
    </row>
    <row r="37" spans="1:28">
      <c r="A37" s="62"/>
      <c r="C37" s="141"/>
      <c r="E37" s="62"/>
      <c r="O37" s="9"/>
      <c r="P37" s="9"/>
      <c r="Q37" s="9"/>
      <c r="R37" s="9"/>
      <c r="S37" s="9"/>
      <c r="T37" s="9"/>
      <c r="U37" s="9"/>
      <c r="V37" s="9"/>
      <c r="W37" s="9"/>
      <c r="X37" s="9"/>
      <c r="Y37" s="9"/>
      <c r="Z37" s="9"/>
      <c r="AA37" s="9"/>
      <c r="AB37" s="9"/>
    </row>
    <row r="38" spans="1:28">
      <c r="A38" s="62"/>
      <c r="C38" s="141"/>
      <c r="E38" s="62"/>
      <c r="O38" s="9"/>
      <c r="P38" s="9"/>
      <c r="Q38" s="9"/>
      <c r="R38" s="9"/>
      <c r="S38" s="9"/>
      <c r="T38" s="9"/>
      <c r="U38" s="9"/>
      <c r="V38" s="9"/>
      <c r="W38" s="9"/>
      <c r="X38" s="9"/>
      <c r="Y38" s="9"/>
      <c r="Z38" s="9"/>
      <c r="AA38" s="9"/>
      <c r="AB38" s="9"/>
    </row>
    <row r="39" spans="1:28">
      <c r="A39" s="62"/>
      <c r="C39" s="141"/>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2"/>
      <c r="F46" s="152"/>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I19" sqref="I19"/>
    </sheetView>
  </sheetViews>
  <sheetFormatPr defaultColWidth="8.85546875" defaultRowHeight="12"/>
  <cols>
    <col min="1" max="1" width="19.42578125" customWidth="1"/>
    <col min="2" max="5" width="13.7109375" customWidth="1"/>
  </cols>
  <sheetData>
    <row r="1" spans="1:26">
      <c r="A1" s="63" t="s">
        <v>80</v>
      </c>
      <c r="B1" s="64" t="s">
        <v>81</v>
      </c>
      <c r="C1" t="s">
        <v>82</v>
      </c>
      <c r="D1" s="65"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6" t="s">
        <v>87</v>
      </c>
      <c r="B2" s="66" t="s">
        <v>103</v>
      </c>
      <c r="C2" s="153" t="s">
        <v>95</v>
      </c>
      <c r="D2" s="153"/>
      <c r="E2" s="153"/>
      <c r="F2" s="67"/>
      <c r="G2" s="67"/>
      <c r="H2" s="67"/>
      <c r="I2" s="67"/>
      <c r="J2" s="67"/>
      <c r="K2" s="67"/>
      <c r="L2" s="67"/>
      <c r="M2" s="67"/>
      <c r="N2" s="67"/>
      <c r="O2" s="67"/>
      <c r="P2" s="67"/>
      <c r="Q2" s="67"/>
      <c r="R2" s="67"/>
      <c r="S2" s="67"/>
      <c r="T2" s="67"/>
      <c r="U2" s="67"/>
      <c r="V2" s="67"/>
      <c r="W2" s="67"/>
      <c r="X2" s="67"/>
      <c r="Y2" s="67"/>
      <c r="Z2" s="67"/>
    </row>
    <row r="3" spans="1:26">
      <c r="A3" s="68" t="s">
        <v>8</v>
      </c>
      <c r="B3" s="68" t="s">
        <v>101</v>
      </c>
      <c r="C3" s="154" t="s">
        <v>1</v>
      </c>
      <c r="D3" s="154"/>
      <c r="E3" s="154"/>
      <c r="F3" s="67"/>
      <c r="G3" s="67"/>
      <c r="H3" s="67"/>
      <c r="I3" s="67"/>
      <c r="J3" s="67"/>
      <c r="K3" s="67"/>
      <c r="L3" s="67"/>
      <c r="M3" s="67"/>
      <c r="N3" s="67"/>
      <c r="O3" s="67"/>
      <c r="P3" s="67"/>
      <c r="Q3" s="67"/>
      <c r="R3" s="67"/>
      <c r="S3" s="67"/>
      <c r="T3" s="67"/>
      <c r="U3" s="67"/>
      <c r="V3" s="67"/>
      <c r="W3" s="67"/>
      <c r="X3" s="67"/>
      <c r="Y3" s="67"/>
      <c r="Z3" s="67"/>
    </row>
    <row r="4" spans="1:26" ht="15.75">
      <c r="A4" s="69"/>
      <c r="B4" s="69"/>
      <c r="C4" s="155"/>
      <c r="D4" s="155"/>
      <c r="E4" s="155"/>
      <c r="F4" s="22"/>
      <c r="G4" s="22"/>
      <c r="H4" s="22"/>
      <c r="I4" s="22"/>
      <c r="J4" s="22"/>
      <c r="K4" s="22"/>
      <c r="L4" s="22"/>
      <c r="M4" s="22"/>
      <c r="N4" s="22"/>
      <c r="O4" s="22"/>
      <c r="P4" s="22"/>
      <c r="Q4" s="22"/>
      <c r="R4" s="22"/>
      <c r="S4" s="22"/>
      <c r="T4" s="22"/>
      <c r="U4" s="22"/>
      <c r="V4" s="22"/>
      <c r="W4" s="22"/>
      <c r="X4" s="22"/>
      <c r="Y4" s="22"/>
      <c r="Z4" s="22"/>
    </row>
    <row r="5" spans="1:26" ht="15.75">
      <c r="A5" s="69"/>
      <c r="B5" s="69"/>
      <c r="C5" s="155"/>
      <c r="D5" s="155"/>
      <c r="E5" s="155"/>
      <c r="F5" s="22"/>
      <c r="G5" s="22"/>
      <c r="H5" s="22"/>
      <c r="I5" s="22"/>
      <c r="J5" s="22"/>
      <c r="K5" s="22"/>
      <c r="L5" s="22"/>
      <c r="M5" s="22"/>
      <c r="N5" s="22"/>
      <c r="O5" s="22"/>
      <c r="P5" s="22"/>
      <c r="Q5" s="22"/>
      <c r="R5" s="22"/>
      <c r="S5" s="22"/>
      <c r="T5" s="22"/>
      <c r="U5" s="22"/>
      <c r="V5" s="22"/>
      <c r="W5" s="22"/>
      <c r="X5" s="22"/>
      <c r="Y5" s="22"/>
      <c r="Z5" s="22"/>
    </row>
    <row r="6" spans="1:26" ht="15.75">
      <c r="A6" s="69"/>
      <c r="B6" s="69"/>
      <c r="C6" s="155"/>
      <c r="D6" s="155"/>
      <c r="E6" s="155"/>
      <c r="F6" s="22"/>
      <c r="G6" s="22"/>
      <c r="H6" s="22"/>
      <c r="I6" s="22"/>
      <c r="J6" s="22"/>
      <c r="K6" s="22"/>
      <c r="L6" s="22"/>
      <c r="M6" s="22"/>
      <c r="N6" s="22"/>
      <c r="O6" s="22"/>
      <c r="P6" s="22"/>
      <c r="Q6" s="22"/>
      <c r="R6" s="22"/>
      <c r="S6" s="22"/>
      <c r="T6" s="22"/>
      <c r="U6" s="22"/>
      <c r="V6" s="22"/>
      <c r="W6" s="22"/>
      <c r="X6" s="22"/>
      <c r="Y6" s="22"/>
      <c r="Z6" s="22"/>
    </row>
    <row r="7" spans="1:26" ht="15.75">
      <c r="A7" s="69"/>
      <c r="B7" s="69"/>
      <c r="C7" s="155"/>
      <c r="D7" s="155"/>
      <c r="E7" s="155"/>
      <c r="F7" s="22"/>
      <c r="G7" s="22"/>
      <c r="H7" s="22"/>
      <c r="I7" s="22"/>
      <c r="J7" s="22"/>
      <c r="K7" s="22"/>
      <c r="L7" s="22"/>
      <c r="M7" s="22"/>
      <c r="N7" s="22"/>
      <c r="O7" s="22"/>
      <c r="P7" s="22"/>
      <c r="Q7" s="22"/>
      <c r="R7" s="22"/>
      <c r="S7" s="22"/>
      <c r="T7" s="22"/>
      <c r="U7" s="22"/>
      <c r="V7" s="22"/>
      <c r="W7" s="22"/>
      <c r="X7" s="22"/>
      <c r="Y7" s="22"/>
      <c r="Z7" s="22"/>
    </row>
    <row r="8" spans="1:26" ht="15.75">
      <c r="A8" s="69"/>
      <c r="B8" s="69"/>
      <c r="C8" s="155"/>
      <c r="D8" s="155"/>
      <c r="E8" s="155"/>
      <c r="F8" s="22"/>
      <c r="G8" s="22"/>
      <c r="H8" s="22"/>
      <c r="I8" s="22"/>
      <c r="J8" s="22"/>
      <c r="K8" s="22"/>
      <c r="L8" s="22"/>
      <c r="M8" s="22"/>
      <c r="N8" s="22"/>
      <c r="O8" s="22"/>
      <c r="P8" s="22"/>
      <c r="Q8" s="22"/>
      <c r="R8" s="22"/>
      <c r="S8" s="22"/>
      <c r="T8" s="22"/>
      <c r="U8" s="22"/>
      <c r="V8" s="22"/>
      <c r="W8" s="22"/>
      <c r="X8" s="22"/>
      <c r="Y8" s="22"/>
      <c r="Z8" s="22"/>
    </row>
    <row r="9" spans="1:26" ht="15.75">
      <c r="A9" s="69"/>
      <c r="B9" s="69"/>
      <c r="C9" s="155"/>
      <c r="D9" s="155"/>
      <c r="E9" s="155"/>
      <c r="F9" s="22"/>
      <c r="G9" s="22"/>
      <c r="H9" s="22"/>
      <c r="I9" s="22"/>
      <c r="J9" s="22"/>
      <c r="K9" s="22"/>
      <c r="L9" s="22"/>
      <c r="M9" s="22"/>
      <c r="N9" s="22"/>
      <c r="O9" s="22"/>
      <c r="P9" s="22"/>
      <c r="Q9" s="22"/>
      <c r="R9" s="22"/>
      <c r="S9" s="22"/>
      <c r="T9" s="22"/>
      <c r="U9" s="22"/>
      <c r="V9" s="22"/>
      <c r="W9" s="22"/>
      <c r="X9" s="22"/>
      <c r="Y9" s="22"/>
      <c r="Z9" s="22"/>
    </row>
    <row r="10" spans="1:26" ht="15.75">
      <c r="A10" s="69"/>
      <c r="B10" s="69"/>
      <c r="C10" s="155"/>
      <c r="D10" s="155"/>
      <c r="E10" s="155"/>
      <c r="F10" s="22"/>
      <c r="G10" s="22"/>
      <c r="H10" s="22"/>
      <c r="I10" s="22"/>
      <c r="J10" s="22"/>
      <c r="K10" s="22"/>
      <c r="L10" s="22"/>
      <c r="M10" s="22"/>
      <c r="N10" s="22"/>
      <c r="O10" s="22"/>
      <c r="P10" s="22"/>
      <c r="Q10" s="22"/>
      <c r="R10" s="22"/>
      <c r="S10" s="22"/>
      <c r="T10" s="22"/>
      <c r="U10" s="22"/>
      <c r="V10" s="22"/>
      <c r="W10" s="22"/>
      <c r="X10" s="22"/>
      <c r="Y10" s="22"/>
      <c r="Z10" s="22"/>
    </row>
    <row r="11" spans="1:26" ht="15.75">
      <c r="A11" s="69"/>
      <c r="B11" s="69"/>
      <c r="C11" s="155"/>
      <c r="D11" s="155"/>
      <c r="E11" s="155"/>
      <c r="F11" s="22"/>
      <c r="G11" s="22"/>
      <c r="H11" s="22"/>
      <c r="I11" s="22"/>
      <c r="J11" s="22"/>
      <c r="K11" s="22"/>
      <c r="L11" s="22"/>
      <c r="M11" s="22"/>
      <c r="N11" s="22"/>
      <c r="O11" s="22"/>
      <c r="P11" s="22"/>
      <c r="Q11" s="22"/>
      <c r="R11" s="22"/>
      <c r="S11" s="22"/>
      <c r="T11" s="22"/>
      <c r="U11" s="22"/>
      <c r="V11" s="22"/>
      <c r="W11" s="22"/>
      <c r="X11" s="22"/>
      <c r="Y11" s="22"/>
      <c r="Z11" s="22"/>
    </row>
    <row r="12" spans="1:26" ht="15.75">
      <c r="A12" s="69"/>
      <c r="B12" s="69"/>
      <c r="C12" s="155"/>
      <c r="D12" s="155"/>
      <c r="E12" s="155"/>
      <c r="F12" s="22"/>
      <c r="G12" s="22"/>
      <c r="H12" s="22"/>
      <c r="I12" s="22"/>
      <c r="J12" s="22"/>
      <c r="K12" s="22"/>
      <c r="L12" s="22"/>
      <c r="M12" s="22"/>
      <c r="N12" s="22"/>
      <c r="O12" s="22"/>
      <c r="P12" s="22"/>
      <c r="Q12" s="22"/>
      <c r="R12" s="22"/>
      <c r="S12" s="22"/>
      <c r="T12" s="22"/>
      <c r="U12" s="22"/>
      <c r="V12" s="22"/>
      <c r="W12" s="22"/>
      <c r="X12" s="22"/>
      <c r="Y12" s="22"/>
      <c r="Z12" s="22"/>
    </row>
    <row r="13" spans="1:26" ht="15.75">
      <c r="A13" s="69"/>
      <c r="B13" s="69"/>
      <c r="C13" s="155"/>
      <c r="D13" s="155"/>
      <c r="E13" s="155"/>
      <c r="F13" s="22"/>
      <c r="G13" s="22"/>
      <c r="H13" s="22"/>
      <c r="I13" s="22"/>
      <c r="J13" s="22"/>
      <c r="K13" s="22"/>
      <c r="L13" s="22"/>
      <c r="M13" s="22"/>
      <c r="N13" s="22"/>
      <c r="O13" s="22"/>
      <c r="P13" s="22"/>
      <c r="Q13" s="22"/>
      <c r="R13" s="22"/>
      <c r="S13" s="22"/>
      <c r="T13" s="22"/>
      <c r="U13" s="22"/>
      <c r="V13" s="22"/>
      <c r="W13" s="22"/>
      <c r="X13" s="22"/>
      <c r="Y13" s="22"/>
      <c r="Z13" s="22"/>
    </row>
    <row r="14" spans="1:26" ht="15.75">
      <c r="A14" s="69"/>
      <c r="B14" s="69"/>
      <c r="C14" s="155"/>
      <c r="D14" s="155"/>
      <c r="E14" s="155"/>
      <c r="F14" s="22"/>
      <c r="G14" s="22"/>
      <c r="H14" s="22"/>
      <c r="I14" s="22"/>
      <c r="J14" s="22"/>
      <c r="K14" s="22"/>
      <c r="L14" s="22"/>
      <c r="M14" s="22"/>
      <c r="N14" s="22"/>
      <c r="O14" s="22"/>
      <c r="P14" s="22"/>
      <c r="Q14" s="22"/>
      <c r="R14" s="22"/>
      <c r="S14" s="22"/>
      <c r="T14" s="22"/>
      <c r="U14" s="22"/>
      <c r="V14" s="22"/>
      <c r="W14" s="22"/>
      <c r="X14" s="22"/>
      <c r="Y14" s="22"/>
      <c r="Z14" s="22"/>
    </row>
    <row r="15" spans="1:26" ht="15.75">
      <c r="A15" s="69"/>
      <c r="B15" s="69"/>
      <c r="C15" s="155"/>
      <c r="D15" s="155"/>
      <c r="E15" s="155"/>
      <c r="F15" s="22"/>
      <c r="G15" s="22"/>
      <c r="H15" s="22"/>
      <c r="I15" s="22"/>
      <c r="J15" s="22"/>
      <c r="K15" s="22"/>
      <c r="L15" s="22"/>
      <c r="M15" s="22"/>
      <c r="N15" s="22"/>
      <c r="O15" s="22"/>
      <c r="P15" s="22"/>
      <c r="Q15" s="22"/>
      <c r="R15" s="22"/>
      <c r="S15" s="22"/>
      <c r="T15" s="22"/>
      <c r="U15" s="22"/>
      <c r="V15" s="22"/>
      <c r="W15" s="22"/>
      <c r="X15" s="22"/>
      <c r="Y15" s="22"/>
      <c r="Z15" s="22"/>
    </row>
    <row r="16" spans="1:26" ht="15.75">
      <c r="A16" s="69"/>
      <c r="B16" s="69"/>
      <c r="C16" s="155"/>
      <c r="D16" s="155"/>
      <c r="E16" s="155"/>
      <c r="F16" s="22"/>
      <c r="G16" s="22"/>
      <c r="H16" s="22"/>
      <c r="I16" s="22"/>
      <c r="J16" s="22"/>
      <c r="K16" s="22"/>
      <c r="L16" s="22"/>
      <c r="M16" s="22"/>
      <c r="N16" s="22"/>
      <c r="O16" s="22"/>
      <c r="P16" s="22"/>
      <c r="Q16" s="22"/>
      <c r="R16" s="22"/>
      <c r="S16" s="22"/>
      <c r="T16" s="22"/>
      <c r="U16" s="22"/>
      <c r="V16" s="22"/>
      <c r="W16" s="22"/>
      <c r="X16" s="22"/>
      <c r="Y16" s="22"/>
      <c r="Z16" s="22"/>
    </row>
    <row r="17" spans="1:26" ht="15.75">
      <c r="A17" s="69"/>
      <c r="B17" s="69"/>
      <c r="C17" s="155"/>
      <c r="D17" s="155"/>
      <c r="E17" s="155"/>
      <c r="F17" s="22"/>
      <c r="G17" s="22"/>
      <c r="H17" s="22"/>
      <c r="I17" s="22"/>
      <c r="J17" s="22"/>
      <c r="K17" s="22"/>
      <c r="L17" s="22"/>
      <c r="M17" s="22"/>
      <c r="N17" s="22"/>
      <c r="O17" s="22"/>
      <c r="P17" s="22"/>
      <c r="Q17" s="22"/>
      <c r="R17" s="22"/>
      <c r="S17" s="22"/>
      <c r="T17" s="22"/>
      <c r="U17" s="22"/>
      <c r="V17" s="22"/>
      <c r="W17" s="22"/>
      <c r="X17" s="22"/>
      <c r="Y17" s="22"/>
      <c r="Z17" s="22"/>
    </row>
    <row r="18" spans="1:26" ht="15.75">
      <c r="A18" s="69"/>
      <c r="B18" s="69"/>
      <c r="C18" s="155"/>
      <c r="D18" s="155"/>
      <c r="E18" s="155"/>
      <c r="F18" s="22"/>
      <c r="G18" s="22"/>
      <c r="H18" s="22"/>
      <c r="I18" s="22"/>
      <c r="J18" s="22"/>
      <c r="K18" s="22"/>
      <c r="L18" s="22"/>
      <c r="M18" s="22"/>
      <c r="N18" s="22"/>
      <c r="O18" s="22"/>
      <c r="P18" s="22"/>
      <c r="Q18" s="22"/>
      <c r="R18" s="22"/>
      <c r="S18" s="22"/>
      <c r="T18" s="22"/>
      <c r="U18" s="22"/>
      <c r="V18" s="22"/>
      <c r="W18" s="22"/>
      <c r="X18" s="22"/>
      <c r="Y18" s="22"/>
      <c r="Z18" s="22"/>
    </row>
    <row r="19" spans="1:26" ht="15.75">
      <c r="A19" s="69"/>
      <c r="B19" s="69"/>
      <c r="C19" s="155"/>
      <c r="D19" s="155"/>
      <c r="E19" s="155"/>
      <c r="F19" s="22"/>
      <c r="G19" s="22"/>
      <c r="H19" s="22"/>
      <c r="I19" s="22"/>
      <c r="J19" s="22"/>
      <c r="K19" s="22"/>
      <c r="L19" s="22"/>
      <c r="M19" s="22"/>
      <c r="N19" s="22"/>
      <c r="O19" s="22"/>
      <c r="P19" s="22"/>
      <c r="Q19" s="22"/>
      <c r="R19" s="22"/>
      <c r="S19" s="22"/>
      <c r="T19" s="22"/>
      <c r="U19" s="22"/>
      <c r="V19" s="22"/>
      <c r="W19" s="22"/>
      <c r="X19" s="22"/>
      <c r="Y19" s="22"/>
      <c r="Z19" s="22"/>
    </row>
    <row r="20" spans="1:26" ht="15.75">
      <c r="A20" s="69"/>
      <c r="B20" s="69"/>
      <c r="C20" s="155"/>
      <c r="D20" s="155"/>
      <c r="E20" s="155"/>
      <c r="F20" s="22"/>
      <c r="G20" s="22"/>
      <c r="H20" s="22"/>
      <c r="I20" s="22"/>
      <c r="J20" s="22"/>
      <c r="K20" s="22"/>
      <c r="L20" s="22"/>
      <c r="M20" s="22"/>
      <c r="N20" s="22"/>
      <c r="O20" s="22"/>
      <c r="P20" s="22"/>
      <c r="Q20" s="22"/>
      <c r="R20" s="22"/>
      <c r="S20" s="22"/>
      <c r="T20" s="22"/>
      <c r="U20" s="22"/>
      <c r="V20" s="22"/>
      <c r="W20" s="22"/>
      <c r="X20" s="22"/>
      <c r="Y20" s="22"/>
      <c r="Z20" s="22"/>
    </row>
    <row r="21" spans="1:26" ht="15.75">
      <c r="A21" s="69"/>
      <c r="B21" s="69"/>
      <c r="C21" s="155"/>
      <c r="D21" s="155"/>
      <c r="E21" s="155"/>
      <c r="F21" s="22"/>
      <c r="G21" s="22"/>
      <c r="H21" s="22"/>
      <c r="I21" s="22"/>
      <c r="J21" s="22"/>
      <c r="K21" s="22"/>
      <c r="L21" s="22"/>
      <c r="M21" s="22"/>
      <c r="N21" s="22"/>
      <c r="O21" s="22"/>
      <c r="P21" s="22"/>
      <c r="Q21" s="22"/>
      <c r="R21" s="22"/>
      <c r="S21" s="22"/>
      <c r="T21" s="22"/>
      <c r="U21" s="22"/>
      <c r="V21" s="22"/>
      <c r="W21" s="22"/>
      <c r="X21" s="22"/>
      <c r="Y21" s="22"/>
      <c r="Z21" s="22"/>
    </row>
    <row r="22" spans="1:26" ht="15.75">
      <c r="A22" s="69"/>
      <c r="B22" s="69"/>
      <c r="C22" s="155"/>
      <c r="D22" s="155"/>
      <c r="E22" s="155"/>
      <c r="F22" s="22"/>
      <c r="G22" s="22"/>
      <c r="H22" s="22"/>
      <c r="I22" s="22"/>
      <c r="J22" s="22"/>
      <c r="K22" s="22"/>
      <c r="L22" s="22"/>
      <c r="M22" s="22"/>
      <c r="N22" s="22"/>
      <c r="O22" s="22"/>
      <c r="P22" s="22"/>
      <c r="Q22" s="22"/>
      <c r="R22" s="22"/>
      <c r="S22" s="22"/>
      <c r="T22" s="22"/>
      <c r="U22" s="22"/>
      <c r="V22" s="22"/>
      <c r="W22" s="22"/>
      <c r="X22" s="22"/>
      <c r="Y22" s="22"/>
      <c r="Z22" s="22"/>
    </row>
    <row r="23" spans="1:26" ht="15.75">
      <c r="A23" s="69"/>
      <c r="B23" s="69"/>
      <c r="C23" s="155"/>
      <c r="D23" s="155"/>
      <c r="E23" s="155"/>
      <c r="F23" s="22"/>
      <c r="G23" s="22"/>
      <c r="H23" s="22"/>
      <c r="I23" s="22"/>
      <c r="J23" s="22"/>
      <c r="K23" s="22"/>
      <c r="L23" s="22"/>
      <c r="M23" s="22"/>
      <c r="N23" s="22"/>
      <c r="O23" s="22"/>
      <c r="P23" s="22"/>
      <c r="Q23" s="22"/>
      <c r="R23" s="22"/>
      <c r="S23" s="22"/>
      <c r="T23" s="22"/>
      <c r="U23" s="22"/>
      <c r="V23" s="22"/>
      <c r="W23" s="22"/>
      <c r="X23" s="22"/>
      <c r="Y23" s="22"/>
      <c r="Z23" s="22"/>
    </row>
    <row r="24" spans="1:26" ht="15.75">
      <c r="A24" s="69"/>
      <c r="B24" s="69"/>
      <c r="C24" s="155"/>
      <c r="D24" s="155"/>
      <c r="E24" s="155"/>
      <c r="F24" s="22"/>
      <c r="G24" s="22"/>
      <c r="H24" s="22"/>
      <c r="I24" s="22"/>
      <c r="J24" s="22"/>
      <c r="K24" s="22"/>
      <c r="L24" s="22"/>
      <c r="M24" s="22"/>
      <c r="N24" s="22"/>
      <c r="O24" s="22"/>
      <c r="P24" s="22"/>
      <c r="Q24" s="22"/>
      <c r="R24" s="22"/>
      <c r="S24" s="22"/>
      <c r="T24" s="22"/>
      <c r="U24" s="22"/>
      <c r="V24" s="22"/>
      <c r="W24" s="22"/>
      <c r="X24" s="22"/>
      <c r="Y24" s="22"/>
      <c r="Z24" s="22"/>
    </row>
    <row r="25" spans="1:26" ht="15.75">
      <c r="A25" s="69"/>
      <c r="B25" s="69"/>
      <c r="C25" s="155"/>
      <c r="D25" s="155"/>
      <c r="E25" s="155"/>
      <c r="F25" s="22"/>
      <c r="G25" s="22"/>
      <c r="H25" s="22"/>
      <c r="I25" s="22"/>
      <c r="J25" s="22"/>
      <c r="K25" s="22"/>
      <c r="L25" s="22"/>
      <c r="M25" s="22"/>
      <c r="N25" s="22"/>
      <c r="O25" s="22"/>
      <c r="P25" s="22"/>
      <c r="Q25" s="22"/>
      <c r="R25" s="22"/>
      <c r="S25" s="22"/>
      <c r="T25" s="22"/>
      <c r="U25" s="22"/>
      <c r="V25" s="22"/>
      <c r="W25" s="22"/>
      <c r="X25" s="22"/>
      <c r="Y25" s="22"/>
      <c r="Z25" s="22"/>
    </row>
    <row r="26" spans="1:26" ht="15.75">
      <c r="A26" s="69"/>
      <c r="B26" s="69"/>
      <c r="C26" s="155"/>
      <c r="D26" s="155"/>
      <c r="E26" s="155"/>
      <c r="F26" s="22"/>
      <c r="G26" s="22"/>
      <c r="H26" s="22"/>
      <c r="I26" s="22"/>
      <c r="J26" s="22"/>
      <c r="K26" s="22"/>
      <c r="L26" s="22"/>
      <c r="M26" s="22"/>
      <c r="N26" s="22"/>
      <c r="O26" s="22"/>
      <c r="P26" s="22"/>
      <c r="Q26" s="22"/>
      <c r="R26" s="22"/>
      <c r="S26" s="22"/>
      <c r="T26" s="22"/>
      <c r="U26" s="22"/>
      <c r="V26" s="22"/>
      <c r="W26" s="22"/>
      <c r="X26" s="22"/>
      <c r="Y26" s="22"/>
      <c r="Z26" s="22"/>
    </row>
    <row r="27" spans="1:26" ht="15.75">
      <c r="A27" s="69"/>
      <c r="B27" s="69"/>
      <c r="C27" s="155"/>
      <c r="D27" s="155"/>
      <c r="E27" s="155"/>
      <c r="F27" s="22"/>
      <c r="G27" s="22"/>
      <c r="H27" s="22"/>
      <c r="I27" s="22"/>
      <c r="J27" s="22"/>
      <c r="K27" s="22"/>
      <c r="L27" s="22"/>
      <c r="M27" s="22"/>
      <c r="N27" s="22"/>
      <c r="O27" s="22"/>
      <c r="P27" s="22"/>
      <c r="Q27" s="22"/>
      <c r="R27" s="22"/>
      <c r="S27" s="22"/>
      <c r="T27" s="22"/>
      <c r="U27" s="22"/>
      <c r="V27" s="22"/>
      <c r="W27" s="22"/>
      <c r="X27" s="22"/>
      <c r="Y27" s="22"/>
      <c r="Z27" s="22"/>
    </row>
    <row r="28" spans="1:26" ht="15.75">
      <c r="A28" s="69"/>
      <c r="B28" s="69"/>
      <c r="C28" s="155"/>
      <c r="D28" s="155"/>
      <c r="E28" s="155"/>
      <c r="F28" s="22"/>
      <c r="G28" s="22"/>
      <c r="H28" s="22"/>
      <c r="I28" s="22"/>
      <c r="J28" s="22"/>
      <c r="K28" s="22"/>
      <c r="L28" s="22"/>
      <c r="M28" s="22"/>
      <c r="N28" s="22"/>
      <c r="O28" s="22"/>
      <c r="P28" s="22"/>
      <c r="Q28" s="22"/>
      <c r="R28" s="22"/>
      <c r="S28" s="22"/>
      <c r="T28" s="22"/>
      <c r="U28" s="22"/>
      <c r="V28" s="22"/>
      <c r="W28" s="22"/>
      <c r="X28" s="22"/>
      <c r="Y28" s="22"/>
      <c r="Z28" s="22"/>
    </row>
    <row r="29" spans="1:26" ht="15.75">
      <c r="A29" s="69"/>
      <c r="B29" s="69"/>
      <c r="C29" s="155"/>
      <c r="D29" s="155"/>
      <c r="E29" s="155"/>
      <c r="F29" s="22"/>
      <c r="G29" s="22"/>
      <c r="H29" s="22"/>
      <c r="I29" s="22"/>
      <c r="J29" s="22"/>
      <c r="K29" s="22"/>
      <c r="L29" s="22"/>
      <c r="M29" s="22"/>
      <c r="N29" s="22"/>
      <c r="O29" s="22"/>
      <c r="P29" s="22"/>
      <c r="Q29" s="22"/>
      <c r="R29" s="22"/>
      <c r="S29" s="22"/>
      <c r="T29" s="22"/>
      <c r="U29" s="22"/>
      <c r="V29" s="22"/>
      <c r="W29" s="22"/>
      <c r="X29" s="22"/>
      <c r="Y29" s="22"/>
      <c r="Z29" s="22"/>
    </row>
    <row r="30" spans="1:26" ht="15.75">
      <c r="A30" s="69"/>
      <c r="B30" s="69"/>
      <c r="C30" s="155"/>
      <c r="D30" s="155"/>
      <c r="E30" s="155"/>
      <c r="F30" s="22"/>
      <c r="G30" s="22"/>
      <c r="H30" s="22"/>
      <c r="I30" s="22"/>
      <c r="J30" s="22"/>
      <c r="K30" s="22"/>
      <c r="L30" s="22"/>
      <c r="M30" s="22"/>
      <c r="N30" s="22"/>
      <c r="O30" s="22"/>
      <c r="P30" s="22"/>
      <c r="Q30" s="22"/>
      <c r="R30" s="22"/>
      <c r="S30" s="22"/>
      <c r="T30" s="22"/>
      <c r="U30" s="22"/>
      <c r="V30" s="22"/>
      <c r="W30" s="22"/>
      <c r="X30" s="22"/>
      <c r="Y30" s="22"/>
      <c r="Z30" s="22"/>
    </row>
    <row r="31" spans="1:26" ht="15.75">
      <c r="A31" s="69"/>
      <c r="B31" s="69"/>
      <c r="C31" s="155"/>
      <c r="D31" s="155"/>
      <c r="E31" s="155"/>
      <c r="F31" s="22"/>
      <c r="G31" s="22"/>
      <c r="H31" s="22"/>
      <c r="I31" s="22"/>
      <c r="J31" s="22"/>
      <c r="K31" s="22"/>
      <c r="L31" s="22"/>
      <c r="M31" s="22"/>
      <c r="N31" s="22"/>
      <c r="O31" s="22"/>
      <c r="P31" s="22"/>
      <c r="Q31" s="22"/>
      <c r="R31" s="22"/>
      <c r="S31" s="22"/>
      <c r="T31" s="22"/>
      <c r="U31" s="22"/>
      <c r="V31" s="22"/>
      <c r="W31" s="22"/>
      <c r="X31" s="22"/>
      <c r="Y31" s="22"/>
      <c r="Z31" s="22"/>
    </row>
    <row r="32" spans="1:26" ht="15.75">
      <c r="A32" s="69"/>
      <c r="B32" s="69"/>
      <c r="C32" s="155"/>
      <c r="D32" s="155"/>
      <c r="E32" s="155"/>
      <c r="F32" s="22"/>
      <c r="G32" s="22"/>
      <c r="H32" s="22"/>
      <c r="I32" s="22"/>
      <c r="J32" s="22"/>
      <c r="K32" s="22"/>
      <c r="L32" s="22"/>
      <c r="M32" s="22"/>
      <c r="N32" s="22"/>
      <c r="O32" s="22"/>
      <c r="P32" s="22"/>
      <c r="Q32" s="22"/>
      <c r="R32" s="22"/>
      <c r="S32" s="22"/>
      <c r="T32" s="22"/>
      <c r="U32" s="22"/>
      <c r="V32" s="22"/>
      <c r="W32" s="22"/>
      <c r="X32" s="22"/>
      <c r="Y32" s="22"/>
      <c r="Z32" s="22"/>
    </row>
    <row r="33" spans="1:26" ht="15.75">
      <c r="A33" s="69"/>
      <c r="B33" s="69"/>
      <c r="C33" s="155"/>
      <c r="D33" s="155"/>
      <c r="E33" s="155"/>
      <c r="F33" s="22"/>
      <c r="G33" s="22"/>
      <c r="H33" s="22"/>
      <c r="I33" s="22"/>
      <c r="J33" s="22"/>
      <c r="K33" s="22"/>
      <c r="L33" s="22"/>
      <c r="M33" s="22"/>
      <c r="N33" s="22"/>
      <c r="O33" s="22"/>
      <c r="P33" s="22"/>
      <c r="Q33" s="22"/>
      <c r="R33" s="22"/>
      <c r="S33" s="22"/>
      <c r="T33" s="22"/>
      <c r="U33" s="22"/>
      <c r="V33" s="22"/>
      <c r="W33" s="22"/>
      <c r="X33" s="22"/>
      <c r="Y33" s="22"/>
      <c r="Z33" s="22"/>
    </row>
    <row r="34" spans="1:26" ht="15.75">
      <c r="A34" s="69"/>
      <c r="B34" s="69"/>
      <c r="C34" s="155"/>
      <c r="D34" s="155"/>
      <c r="E34" s="155"/>
      <c r="F34" s="22"/>
      <c r="G34" s="22"/>
      <c r="H34" s="22"/>
      <c r="I34" s="22"/>
      <c r="J34" s="22"/>
      <c r="K34" s="22"/>
      <c r="L34" s="22"/>
      <c r="M34" s="22"/>
      <c r="N34" s="22"/>
      <c r="O34" s="22"/>
      <c r="P34" s="22"/>
      <c r="Q34" s="22"/>
      <c r="R34" s="22"/>
      <c r="S34" s="22"/>
      <c r="T34" s="22"/>
      <c r="U34" s="22"/>
      <c r="V34" s="22"/>
      <c r="W34" s="22"/>
      <c r="X34" s="22"/>
      <c r="Y34" s="22"/>
      <c r="Z34" s="22"/>
    </row>
    <row r="35" spans="1:26" ht="15.75">
      <c r="A35" s="69"/>
      <c r="B35" s="69"/>
      <c r="C35" s="155"/>
      <c r="D35" s="155"/>
      <c r="E35" s="155"/>
      <c r="F35" s="22"/>
      <c r="G35" s="22"/>
      <c r="H35" s="22"/>
      <c r="I35" s="22"/>
      <c r="J35" s="22"/>
      <c r="K35" s="22"/>
      <c r="L35" s="22"/>
      <c r="M35" s="22"/>
      <c r="N35" s="22"/>
      <c r="O35" s="22"/>
      <c r="P35" s="22"/>
      <c r="Q35" s="22"/>
      <c r="R35" s="22"/>
      <c r="S35" s="22"/>
      <c r="T35" s="22"/>
      <c r="U35" s="22"/>
      <c r="V35" s="22"/>
      <c r="W35" s="22"/>
      <c r="X35" s="22"/>
      <c r="Y35" s="22"/>
      <c r="Z35" s="22"/>
    </row>
    <row r="36" spans="1:26" ht="15.75">
      <c r="A36" s="69"/>
      <c r="B36" s="69"/>
      <c r="C36" s="155"/>
      <c r="D36" s="155"/>
      <c r="E36" s="155"/>
      <c r="F36" s="22"/>
      <c r="G36" s="22"/>
      <c r="H36" s="22"/>
      <c r="I36" s="22"/>
      <c r="J36" s="22"/>
      <c r="K36" s="22"/>
      <c r="L36" s="22"/>
      <c r="M36" s="22"/>
      <c r="N36" s="22"/>
      <c r="O36" s="22"/>
      <c r="P36" s="22"/>
      <c r="Q36" s="22"/>
      <c r="R36" s="22"/>
      <c r="S36" s="22"/>
      <c r="T36" s="22"/>
      <c r="U36" s="22"/>
      <c r="V36" s="22"/>
      <c r="W36" s="22"/>
      <c r="X36" s="22"/>
      <c r="Y36" s="22"/>
      <c r="Z36" s="22"/>
    </row>
    <row r="37" spans="1:26" ht="15.75">
      <c r="A37" s="69"/>
      <c r="B37" s="69"/>
      <c r="C37" s="155"/>
      <c r="D37" s="155"/>
      <c r="E37" s="155"/>
      <c r="F37" s="22"/>
      <c r="G37" s="22"/>
      <c r="H37" s="22"/>
      <c r="I37" s="22"/>
      <c r="J37" s="22"/>
      <c r="K37" s="22"/>
      <c r="L37" s="22"/>
      <c r="M37" s="22"/>
      <c r="N37" s="22"/>
      <c r="O37" s="22"/>
      <c r="P37" s="22"/>
      <c r="Q37" s="22"/>
      <c r="R37" s="22"/>
      <c r="S37" s="22"/>
      <c r="T37" s="22"/>
      <c r="U37" s="22"/>
      <c r="V37" s="22"/>
      <c r="W37" s="22"/>
      <c r="X37" s="22"/>
      <c r="Y37" s="22"/>
      <c r="Z37" s="22"/>
    </row>
    <row r="38" spans="1:26" ht="15.75">
      <c r="A38" s="69"/>
      <c r="B38" s="69"/>
      <c r="C38" s="155"/>
      <c r="D38" s="155"/>
      <c r="E38" s="155"/>
      <c r="F38" s="22"/>
      <c r="G38" s="22"/>
      <c r="H38" s="22"/>
      <c r="I38" s="22"/>
      <c r="J38" s="22"/>
      <c r="K38" s="22"/>
      <c r="L38" s="22"/>
      <c r="M38" s="22"/>
      <c r="N38" s="22"/>
      <c r="O38" s="22"/>
      <c r="P38" s="22"/>
      <c r="Q38" s="22"/>
      <c r="R38" s="22"/>
      <c r="S38" s="22"/>
      <c r="T38" s="22"/>
      <c r="U38" s="22"/>
      <c r="V38" s="22"/>
      <c r="W38" s="22"/>
      <c r="X38" s="22"/>
      <c r="Y38" s="22"/>
      <c r="Z38" s="22"/>
    </row>
    <row r="39" spans="1:26" ht="15.75">
      <c r="A39" s="69"/>
      <c r="B39" s="69"/>
      <c r="C39" s="155"/>
      <c r="D39" s="155"/>
      <c r="E39" s="155"/>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37:E37"/>
    <mergeCell ref="C38:E38"/>
    <mergeCell ref="C39:E39"/>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C8:E8"/>
    <mergeCell ref="C9:E9"/>
    <mergeCell ref="C10:E10"/>
    <mergeCell ref="C11:E11"/>
    <mergeCell ref="C2:E2"/>
    <mergeCell ref="C3:E3"/>
    <mergeCell ref="C4:E4"/>
    <mergeCell ref="C5:E5"/>
    <mergeCell ref="C6:E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11" sqref="F11"/>
    </sheetView>
  </sheetViews>
  <sheetFormatPr defaultColWidth="10.7109375" defaultRowHeight="14.25"/>
  <cols>
    <col min="1" max="5" width="13.7109375" style="6" customWidth="1"/>
    <col min="6" max="6" width="26.7109375" style="6" customWidth="1"/>
    <col min="7" max="1025" width="10.7109375" style="6"/>
  </cols>
  <sheetData>
    <row r="1" spans="1:26" ht="15">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6" t="s">
        <v>105</v>
      </c>
      <c r="E2" s="156"/>
      <c r="F2" s="1" t="s">
        <v>95</v>
      </c>
      <c r="G2" s="2"/>
      <c r="H2" s="2"/>
      <c r="I2" s="2"/>
      <c r="J2" s="2"/>
      <c r="K2" s="2"/>
      <c r="L2" s="2"/>
      <c r="M2" s="2"/>
      <c r="N2" s="2"/>
      <c r="O2" s="2"/>
      <c r="P2" s="2"/>
      <c r="Q2" s="2"/>
      <c r="R2" s="2"/>
      <c r="S2" s="2"/>
      <c r="T2" s="2"/>
      <c r="U2" s="2"/>
      <c r="V2" s="2"/>
      <c r="W2" s="2"/>
      <c r="X2" s="2"/>
      <c r="Y2" s="2"/>
      <c r="Z2" s="2"/>
    </row>
    <row r="3" spans="1:26">
      <c r="A3" s="70" t="s">
        <v>8</v>
      </c>
      <c r="B3" s="70" t="s">
        <v>8</v>
      </c>
      <c r="C3" s="71" t="s">
        <v>8</v>
      </c>
      <c r="D3" s="157" t="s">
        <v>106</v>
      </c>
      <c r="E3" s="157"/>
      <c r="F3" s="71" t="s">
        <v>1</v>
      </c>
      <c r="G3" s="2"/>
      <c r="H3" s="2"/>
      <c r="I3" s="2"/>
      <c r="J3" s="2"/>
      <c r="K3" s="2"/>
      <c r="L3" s="2"/>
      <c r="M3" s="2"/>
      <c r="N3" s="2"/>
      <c r="O3" s="2"/>
      <c r="P3" s="2"/>
      <c r="Q3" s="2"/>
      <c r="R3" s="2"/>
      <c r="S3" s="2"/>
      <c r="T3" s="2"/>
      <c r="U3" s="2"/>
      <c r="V3" s="2"/>
      <c r="W3" s="2"/>
      <c r="X3" s="2"/>
      <c r="Y3" s="2"/>
      <c r="Z3" s="2"/>
    </row>
    <row r="4" spans="1:26">
      <c r="A4" s="62">
        <v>0</v>
      </c>
      <c r="B4" s="62">
        <v>0.89</v>
      </c>
      <c r="D4" s="158"/>
      <c r="E4" s="158"/>
      <c r="F4" s="6" t="s">
        <v>307</v>
      </c>
      <c r="G4" s="9"/>
      <c r="H4" s="9"/>
      <c r="I4" s="9"/>
      <c r="J4" s="9"/>
      <c r="K4" s="9"/>
      <c r="L4" s="9"/>
      <c r="M4" s="9"/>
      <c r="N4" s="9"/>
      <c r="O4" s="9"/>
      <c r="P4" s="9"/>
      <c r="Q4" s="9"/>
      <c r="R4" s="9"/>
      <c r="S4" s="9"/>
      <c r="T4" s="9"/>
      <c r="U4" s="9"/>
      <c r="V4" s="9"/>
      <c r="W4" s="9"/>
      <c r="X4" s="9"/>
      <c r="Y4" s="9"/>
      <c r="Z4" s="9"/>
    </row>
    <row r="5" spans="1:26">
      <c r="A5" s="6">
        <v>0.89</v>
      </c>
      <c r="B5" s="6">
        <f>A5+0.7</f>
        <v>1.5899999999999999</v>
      </c>
      <c r="D5" s="158"/>
      <c r="E5" s="158"/>
      <c r="F5" s="6" t="s">
        <v>308</v>
      </c>
      <c r="G5" s="9"/>
      <c r="H5" s="9"/>
      <c r="I5" s="9"/>
      <c r="J5" s="9"/>
      <c r="K5" s="9"/>
      <c r="L5" s="9"/>
      <c r="M5" s="9"/>
      <c r="N5" s="9"/>
      <c r="O5" s="9"/>
      <c r="P5" s="9"/>
      <c r="Q5" s="9"/>
      <c r="R5" s="9"/>
      <c r="S5" s="9"/>
      <c r="T5" s="9"/>
      <c r="U5" s="9"/>
      <c r="V5" s="9"/>
      <c r="W5" s="9"/>
      <c r="X5" s="9"/>
      <c r="Y5" s="9"/>
      <c r="Z5" s="9"/>
    </row>
    <row r="6" spans="1:26">
      <c r="C6" s="6">
        <v>0.19</v>
      </c>
      <c r="D6" s="158" t="s">
        <v>181</v>
      </c>
      <c r="E6" s="158"/>
      <c r="G6" s="9"/>
      <c r="H6" s="9"/>
      <c r="I6" s="9"/>
      <c r="J6" s="9"/>
      <c r="K6" s="9"/>
      <c r="L6" s="9"/>
      <c r="M6" s="9"/>
      <c r="N6" s="9"/>
      <c r="O6" s="9"/>
      <c r="P6" s="9"/>
      <c r="Q6" s="9"/>
      <c r="R6" s="9"/>
      <c r="S6" s="9"/>
      <c r="T6" s="9"/>
      <c r="U6" s="9"/>
      <c r="V6" s="9"/>
      <c r="W6" s="9"/>
      <c r="X6" s="9"/>
      <c r="Y6" s="9"/>
      <c r="Z6" s="9"/>
    </row>
    <row r="7" spans="1:26">
      <c r="C7">
        <v>0.56999999999999995</v>
      </c>
      <c r="D7" s="158" t="s">
        <v>181</v>
      </c>
      <c r="E7" s="158"/>
      <c r="F7"/>
      <c r="G7" s="9"/>
      <c r="H7" s="9"/>
      <c r="I7" s="9"/>
      <c r="J7" s="9"/>
      <c r="K7" s="9"/>
      <c r="L7" s="9"/>
      <c r="M7" s="9"/>
      <c r="N7" s="9"/>
      <c r="O7" s="9"/>
      <c r="P7" s="9"/>
      <c r="Q7" s="9"/>
      <c r="R7" s="9"/>
      <c r="S7" s="9"/>
      <c r="T7" s="9"/>
      <c r="U7" s="9"/>
      <c r="V7" s="9"/>
      <c r="W7" s="9"/>
      <c r="X7" s="9"/>
      <c r="Y7" s="9"/>
      <c r="Z7" s="9"/>
    </row>
    <row r="8" spans="1:26">
      <c r="A8" s="62"/>
      <c r="D8" s="158"/>
      <c r="E8" s="158"/>
      <c r="G8" s="9"/>
      <c r="H8" s="9"/>
      <c r="I8" s="9"/>
      <c r="J8" s="9"/>
      <c r="K8" s="9"/>
      <c r="L8" s="9"/>
      <c r="M8" s="9"/>
      <c r="N8" s="9"/>
      <c r="O8" s="9"/>
      <c r="P8" s="9"/>
      <c r="Q8" s="9"/>
      <c r="R8" s="9"/>
      <c r="S8" s="9"/>
      <c r="T8" s="9"/>
      <c r="U8" s="9"/>
      <c r="V8" s="9"/>
      <c r="W8" s="9"/>
      <c r="X8" s="9"/>
      <c r="Y8" s="9"/>
      <c r="Z8" s="9"/>
    </row>
    <row r="9" spans="1:26">
      <c r="A9" s="62"/>
      <c r="D9" s="158"/>
      <c r="E9" s="158"/>
      <c r="G9" s="9"/>
      <c r="H9" s="9"/>
      <c r="I9" s="9"/>
      <c r="J9" s="9"/>
      <c r="K9" s="9"/>
      <c r="L9" s="9"/>
      <c r="M9" s="9"/>
      <c r="N9" s="9"/>
      <c r="O9" s="9"/>
      <c r="P9" s="9"/>
      <c r="Q9" s="9"/>
      <c r="R9" s="9"/>
      <c r="S9" s="9"/>
      <c r="T9" s="9"/>
      <c r="U9" s="9"/>
      <c r="V9" s="9"/>
      <c r="W9" s="9"/>
      <c r="X9" s="9"/>
      <c r="Y9" s="9"/>
      <c r="Z9" s="9"/>
    </row>
    <row r="10" spans="1:26">
      <c r="A10" s="62"/>
      <c r="D10" s="158"/>
      <c r="E10" s="158"/>
      <c r="G10" s="9"/>
      <c r="H10" s="9"/>
      <c r="I10" s="9"/>
      <c r="J10" s="9"/>
      <c r="K10" s="9"/>
      <c r="L10" s="9"/>
      <c r="M10" s="9"/>
      <c r="N10" s="9"/>
      <c r="O10" s="9"/>
      <c r="P10" s="9"/>
      <c r="Q10" s="9"/>
      <c r="R10" s="9"/>
      <c r="S10" s="9"/>
      <c r="T10" s="9"/>
      <c r="U10" s="9"/>
      <c r="V10" s="9"/>
      <c r="W10" s="9"/>
      <c r="X10" s="9"/>
      <c r="Y10" s="9"/>
      <c r="Z10" s="9"/>
    </row>
    <row r="11" spans="1:26">
      <c r="A11" s="62"/>
      <c r="D11" s="158"/>
      <c r="E11" s="158"/>
      <c r="G11" s="9"/>
      <c r="H11" s="9"/>
      <c r="I11" s="9"/>
      <c r="J11" s="9"/>
      <c r="K11" s="9"/>
      <c r="L11" s="9"/>
      <c r="M11" s="9"/>
      <c r="N11" s="9"/>
      <c r="O11" s="9"/>
      <c r="P11" s="9"/>
      <c r="Q11" s="9"/>
      <c r="R11" s="9"/>
      <c r="S11" s="9"/>
      <c r="T11" s="9"/>
      <c r="U11" s="9"/>
      <c r="V11" s="9"/>
      <c r="W11" s="9"/>
      <c r="X11" s="9"/>
      <c r="Y11" s="9"/>
      <c r="Z11" s="9"/>
    </row>
    <row r="12" spans="1:26">
      <c r="A12" s="62"/>
      <c r="D12" s="158"/>
      <c r="E12" s="158"/>
      <c r="G12" s="9"/>
      <c r="H12" s="9"/>
      <c r="I12" s="9"/>
      <c r="J12" s="9"/>
      <c r="K12" s="9"/>
      <c r="L12" s="9"/>
      <c r="M12" s="9"/>
      <c r="N12" s="9"/>
      <c r="O12" s="9"/>
      <c r="P12" s="9"/>
      <c r="Q12" s="9"/>
      <c r="R12" s="9"/>
      <c r="S12" s="9"/>
      <c r="T12" s="9"/>
      <c r="U12" s="9"/>
      <c r="V12" s="9"/>
      <c r="W12" s="9"/>
      <c r="X12" s="9"/>
      <c r="Y12" s="9"/>
      <c r="Z12" s="9"/>
    </row>
    <row r="13" spans="1:26">
      <c r="A13" s="62"/>
      <c r="D13" s="158"/>
      <c r="E13" s="158"/>
      <c r="G13" s="9"/>
      <c r="H13" s="9"/>
      <c r="I13" s="9"/>
      <c r="J13" s="9"/>
      <c r="K13" s="9"/>
      <c r="L13" s="9"/>
      <c r="M13" s="9"/>
      <c r="N13" s="9"/>
      <c r="O13" s="9"/>
      <c r="P13" s="9"/>
      <c r="Q13" s="9"/>
      <c r="R13" s="9"/>
      <c r="S13" s="9"/>
      <c r="T13" s="9"/>
      <c r="U13" s="9"/>
      <c r="V13" s="9"/>
      <c r="W13" s="9"/>
      <c r="X13" s="9"/>
      <c r="Y13" s="9"/>
      <c r="Z13" s="9"/>
    </row>
    <row r="14" spans="1:26">
      <c r="A14" s="62"/>
      <c r="D14" s="158"/>
      <c r="E14" s="158"/>
      <c r="G14" s="9"/>
      <c r="H14" s="9"/>
      <c r="I14" s="9"/>
      <c r="J14" s="9"/>
      <c r="K14" s="9"/>
      <c r="L14" s="9"/>
      <c r="M14" s="9"/>
      <c r="N14" s="9"/>
      <c r="O14" s="9"/>
      <c r="P14" s="9"/>
      <c r="Q14" s="9"/>
      <c r="R14" s="9"/>
      <c r="S14" s="9"/>
      <c r="T14" s="9"/>
      <c r="U14" s="9"/>
      <c r="V14" s="9"/>
      <c r="W14" s="9"/>
      <c r="X14" s="9"/>
      <c r="Y14" s="9"/>
      <c r="Z14" s="9"/>
    </row>
    <row r="15" spans="1:26">
      <c r="A15" s="62"/>
      <c r="D15" s="158"/>
      <c r="E15" s="158"/>
      <c r="G15" s="9"/>
      <c r="H15" s="9"/>
      <c r="I15" s="9"/>
      <c r="J15" s="9"/>
      <c r="K15" s="9"/>
      <c r="L15" s="9"/>
      <c r="M15" s="9"/>
      <c r="N15" s="9"/>
      <c r="O15" s="9"/>
      <c r="P15" s="9"/>
      <c r="Q15" s="9"/>
      <c r="R15" s="9"/>
      <c r="S15" s="9"/>
      <c r="T15" s="9"/>
      <c r="U15" s="9"/>
      <c r="V15" s="9"/>
      <c r="W15" s="9"/>
      <c r="X15" s="9"/>
      <c r="Y15" s="9"/>
      <c r="Z15" s="9"/>
    </row>
    <row r="16" spans="1:26">
      <c r="A16" s="62"/>
      <c r="D16" s="158"/>
      <c r="E16" s="158"/>
      <c r="G16" s="9"/>
      <c r="H16" s="9"/>
      <c r="I16" s="9"/>
      <c r="J16" s="9"/>
      <c r="K16" s="9"/>
      <c r="L16" s="9"/>
      <c r="M16" s="9"/>
      <c r="N16" s="9"/>
      <c r="O16" s="9"/>
      <c r="P16" s="9"/>
      <c r="Q16" s="9"/>
      <c r="R16" s="9"/>
      <c r="S16" s="9"/>
      <c r="T16" s="9"/>
      <c r="U16" s="9"/>
      <c r="V16" s="9"/>
      <c r="W16" s="9"/>
      <c r="X16" s="9"/>
      <c r="Y16" s="9"/>
      <c r="Z16" s="9"/>
    </row>
    <row r="17" spans="1:26">
      <c r="A17" s="62"/>
      <c r="D17" s="158"/>
      <c r="E17" s="158"/>
      <c r="G17" s="9"/>
      <c r="H17" s="9"/>
      <c r="I17" s="9"/>
      <c r="J17" s="9"/>
      <c r="K17" s="9"/>
      <c r="L17" s="9"/>
      <c r="M17" s="9"/>
      <c r="N17" s="9"/>
      <c r="O17" s="9"/>
      <c r="P17" s="9"/>
      <c r="Q17" s="9"/>
      <c r="R17" s="9"/>
      <c r="S17" s="9"/>
      <c r="T17" s="9"/>
      <c r="U17" s="9"/>
      <c r="V17" s="9"/>
      <c r="W17" s="9"/>
      <c r="X17" s="9"/>
      <c r="Y17" s="9"/>
      <c r="Z17" s="9"/>
    </row>
    <row r="18" spans="1:26">
      <c r="A18" s="62"/>
      <c r="D18" s="158"/>
      <c r="E18" s="158"/>
      <c r="G18" s="9"/>
      <c r="H18" s="9"/>
      <c r="I18" s="9"/>
      <c r="J18" s="9"/>
      <c r="K18" s="9"/>
      <c r="L18" s="9"/>
      <c r="M18" s="9"/>
      <c r="N18" s="9"/>
      <c r="O18" s="9"/>
      <c r="P18" s="9"/>
      <c r="Q18" s="9"/>
      <c r="R18" s="9"/>
      <c r="S18" s="9"/>
      <c r="T18" s="9"/>
      <c r="U18" s="9"/>
      <c r="V18" s="9"/>
      <c r="W18" s="9"/>
      <c r="X18" s="9"/>
      <c r="Y18" s="9"/>
      <c r="Z18" s="9"/>
    </row>
    <row r="19" spans="1:26">
      <c r="A19" s="62"/>
      <c r="D19" s="158"/>
      <c r="E19" s="158"/>
      <c r="G19" s="9"/>
      <c r="H19" s="9"/>
      <c r="I19" s="9"/>
      <c r="J19" s="9"/>
      <c r="K19" s="9"/>
      <c r="L19" s="9"/>
      <c r="M19" s="9"/>
      <c r="N19" s="9"/>
      <c r="O19" s="9"/>
      <c r="P19" s="9"/>
      <c r="Q19" s="9"/>
      <c r="R19" s="9"/>
      <c r="S19" s="9"/>
      <c r="T19" s="9"/>
      <c r="U19" s="9"/>
      <c r="V19" s="9"/>
      <c r="W19" s="9"/>
      <c r="X19" s="9"/>
      <c r="Y19" s="9"/>
      <c r="Z19" s="9"/>
    </row>
    <row r="20" spans="1:26">
      <c r="A20" s="62"/>
      <c r="D20" s="158"/>
      <c r="E20" s="158"/>
      <c r="G20" s="9"/>
      <c r="H20" s="9"/>
      <c r="I20" s="9"/>
      <c r="J20" s="9"/>
      <c r="K20" s="9"/>
      <c r="L20" s="9"/>
      <c r="M20" s="9"/>
      <c r="N20" s="9"/>
      <c r="O20" s="9"/>
      <c r="P20" s="9"/>
      <c r="Q20" s="9"/>
      <c r="R20" s="9"/>
      <c r="S20" s="9"/>
      <c r="T20" s="9"/>
      <c r="U20" s="9"/>
      <c r="V20" s="9"/>
      <c r="W20" s="9"/>
      <c r="X20" s="9"/>
      <c r="Y20" s="9"/>
      <c r="Z20" s="9"/>
    </row>
    <row r="21" spans="1:26">
      <c r="A21" s="62"/>
      <c r="D21" s="158"/>
      <c r="E21" s="158"/>
      <c r="G21" s="9"/>
      <c r="H21" s="9"/>
      <c r="I21" s="9"/>
      <c r="J21" s="9"/>
      <c r="K21" s="9"/>
      <c r="L21" s="9"/>
      <c r="M21" s="9"/>
      <c r="N21" s="9"/>
      <c r="O21" s="9"/>
      <c r="P21" s="9"/>
      <c r="Q21" s="9"/>
      <c r="R21" s="9"/>
      <c r="S21" s="9"/>
      <c r="T21" s="9"/>
      <c r="U21" s="9"/>
      <c r="V21" s="9"/>
      <c r="W21" s="9"/>
      <c r="X21" s="9"/>
      <c r="Y21" s="9"/>
      <c r="Z21" s="9"/>
    </row>
    <row r="22" spans="1:26">
      <c r="A22" s="62"/>
      <c r="D22" s="158"/>
      <c r="E22" s="158"/>
      <c r="G22" s="9"/>
      <c r="H22" s="9"/>
      <c r="I22" s="9"/>
      <c r="J22" s="9"/>
      <c r="K22" s="9"/>
      <c r="L22" s="9"/>
      <c r="M22" s="9"/>
      <c r="N22" s="9"/>
      <c r="O22" s="9"/>
      <c r="P22" s="9"/>
      <c r="Q22" s="9"/>
      <c r="R22" s="9"/>
      <c r="S22" s="9"/>
      <c r="T22" s="9"/>
      <c r="U22" s="9"/>
      <c r="V22" s="9"/>
      <c r="W22" s="9"/>
      <c r="X22" s="9"/>
      <c r="Y22" s="9"/>
      <c r="Z22" s="9"/>
    </row>
    <row r="23" spans="1:26">
      <c r="A23" s="62"/>
      <c r="D23" s="158"/>
      <c r="E23" s="158"/>
      <c r="G23" s="9"/>
      <c r="H23" s="9"/>
      <c r="I23" s="9"/>
      <c r="J23" s="9"/>
      <c r="K23" s="9"/>
      <c r="L23" s="9"/>
      <c r="M23" s="9"/>
      <c r="N23" s="9"/>
      <c r="O23" s="9"/>
      <c r="P23" s="9"/>
      <c r="Q23" s="9"/>
      <c r="R23" s="9"/>
      <c r="S23" s="9"/>
      <c r="T23" s="9"/>
      <c r="U23" s="9"/>
      <c r="V23" s="9"/>
      <c r="W23" s="9"/>
      <c r="X23" s="9"/>
      <c r="Y23" s="9"/>
      <c r="Z23" s="9"/>
    </row>
    <row r="24" spans="1:26">
      <c r="A24" s="62"/>
      <c r="B24" s="62"/>
      <c r="D24" s="158"/>
      <c r="E24" s="158"/>
      <c r="G24" s="9"/>
      <c r="H24" s="9"/>
      <c r="I24" s="9"/>
      <c r="J24" s="9"/>
      <c r="K24" s="9"/>
      <c r="L24" s="9"/>
      <c r="M24" s="9"/>
      <c r="N24" s="9"/>
      <c r="O24" s="9"/>
      <c r="P24" s="9"/>
      <c r="Q24" s="9"/>
      <c r="R24" s="9"/>
      <c r="S24" s="9"/>
      <c r="T24" s="9"/>
      <c r="U24" s="9"/>
      <c r="V24" s="9"/>
      <c r="W24" s="9"/>
      <c r="X24" s="9"/>
      <c r="Y24" s="9"/>
      <c r="Z24" s="9"/>
    </row>
    <row r="25" spans="1:26">
      <c r="A25" s="62"/>
      <c r="D25" s="158"/>
      <c r="E25" s="158"/>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8"/>
      <c r="E26" s="158"/>
      <c r="F26" s="59"/>
      <c r="G26" s="2"/>
      <c r="H26" s="2"/>
      <c r="I26" s="2"/>
      <c r="J26" s="2"/>
      <c r="K26" s="2"/>
      <c r="L26" s="2"/>
      <c r="M26" s="2"/>
      <c r="N26" s="2"/>
      <c r="O26" s="2"/>
      <c r="P26" s="2"/>
      <c r="Q26" s="2"/>
      <c r="R26" s="2"/>
      <c r="S26" s="2"/>
      <c r="T26" s="2"/>
      <c r="U26" s="2"/>
      <c r="V26" s="2"/>
      <c r="W26" s="2"/>
      <c r="X26" s="2"/>
      <c r="Y26" s="2"/>
      <c r="Z26" s="2"/>
    </row>
    <row r="27" spans="1:26">
      <c r="A27" s="62"/>
      <c r="B27" s="59"/>
      <c r="C27" s="59"/>
      <c r="D27" s="158"/>
      <c r="E27" s="158"/>
      <c r="F27" s="59"/>
      <c r="G27" s="2"/>
      <c r="H27" s="2"/>
      <c r="I27" s="2"/>
      <c r="J27" s="2"/>
      <c r="K27" s="2"/>
      <c r="L27" s="2"/>
      <c r="M27" s="2"/>
      <c r="N27" s="2"/>
      <c r="O27" s="2"/>
      <c r="P27" s="2"/>
      <c r="Q27" s="2"/>
      <c r="R27" s="2"/>
      <c r="S27" s="2"/>
      <c r="T27" s="2"/>
      <c r="U27" s="2"/>
      <c r="V27" s="2"/>
      <c r="W27" s="2"/>
      <c r="X27" s="2"/>
      <c r="Y27" s="2"/>
      <c r="Z27" s="2"/>
    </row>
    <row r="28" spans="1:26">
      <c r="A28" s="62"/>
      <c r="D28" s="158"/>
      <c r="E28" s="158"/>
      <c r="G28" s="9"/>
      <c r="H28" s="9"/>
      <c r="I28" s="9"/>
      <c r="J28" s="9"/>
      <c r="K28" s="9"/>
      <c r="L28" s="9"/>
      <c r="M28" s="9"/>
      <c r="N28" s="9"/>
      <c r="O28" s="9"/>
      <c r="P28" s="9"/>
      <c r="Q28" s="9"/>
      <c r="R28" s="9"/>
      <c r="S28" s="9"/>
      <c r="T28" s="9"/>
      <c r="U28" s="9"/>
      <c r="V28" s="9"/>
      <c r="W28" s="9"/>
      <c r="X28" s="9"/>
      <c r="Y28" s="9"/>
      <c r="Z28" s="9"/>
    </row>
    <row r="29" spans="1:26">
      <c r="A29" s="62"/>
      <c r="D29" s="158"/>
      <c r="E29" s="158"/>
      <c r="G29" s="9"/>
      <c r="H29" s="9"/>
      <c r="I29" s="9"/>
      <c r="J29" s="9"/>
      <c r="K29" s="9"/>
      <c r="L29" s="9"/>
      <c r="M29" s="9"/>
      <c r="N29" s="9"/>
      <c r="O29" s="9"/>
      <c r="P29" s="9"/>
      <c r="Q29" s="9"/>
      <c r="R29" s="9"/>
      <c r="S29" s="9"/>
      <c r="T29" s="9"/>
      <c r="U29" s="9"/>
      <c r="V29" s="9"/>
      <c r="W29" s="9"/>
      <c r="X29" s="9"/>
      <c r="Y29" s="9"/>
      <c r="Z29" s="9"/>
    </row>
    <row r="30" spans="1:26">
      <c r="A30" s="62"/>
      <c r="D30" s="158"/>
      <c r="E30" s="158"/>
      <c r="G30" s="9"/>
      <c r="H30" s="9"/>
      <c r="I30" s="9"/>
      <c r="J30" s="9"/>
      <c r="K30" s="9"/>
      <c r="L30" s="9"/>
      <c r="M30" s="9"/>
      <c r="N30" s="9"/>
      <c r="O30" s="9"/>
      <c r="P30" s="9"/>
      <c r="Q30" s="9"/>
      <c r="R30" s="9"/>
      <c r="S30" s="9"/>
      <c r="T30" s="9"/>
      <c r="U30" s="9"/>
      <c r="V30" s="9"/>
      <c r="W30" s="9"/>
      <c r="X30" s="9"/>
      <c r="Y30" s="9"/>
      <c r="Z30" s="9"/>
    </row>
    <row r="31" spans="1:26">
      <c r="A31" s="62"/>
      <c r="D31" s="158"/>
      <c r="E31" s="158"/>
      <c r="G31" s="9"/>
      <c r="H31" s="9"/>
      <c r="I31" s="9"/>
      <c r="J31" s="9"/>
      <c r="K31" s="9"/>
      <c r="L31" s="9"/>
      <c r="M31" s="9"/>
      <c r="N31" s="9"/>
      <c r="O31" s="9"/>
      <c r="P31" s="9"/>
      <c r="Q31" s="9"/>
      <c r="R31" s="9"/>
      <c r="S31" s="9"/>
      <c r="T31" s="9"/>
      <c r="U31" s="9"/>
      <c r="V31" s="9"/>
      <c r="W31" s="9"/>
      <c r="X31" s="9"/>
      <c r="Y31" s="9"/>
      <c r="Z31" s="9"/>
    </row>
    <row r="32" spans="1:26">
      <c r="A32" s="62"/>
      <c r="D32" s="158"/>
      <c r="E32" s="158"/>
      <c r="G32" s="9"/>
      <c r="H32" s="9"/>
      <c r="I32" s="9"/>
      <c r="J32" s="9"/>
      <c r="K32" s="9"/>
      <c r="L32" s="9"/>
      <c r="M32" s="9"/>
      <c r="N32" s="9"/>
      <c r="O32" s="9"/>
      <c r="P32" s="9"/>
      <c r="Q32" s="9"/>
      <c r="R32" s="9"/>
      <c r="S32" s="9"/>
      <c r="T32" s="9"/>
      <c r="U32" s="9"/>
      <c r="V32" s="9"/>
      <c r="W32" s="9"/>
      <c r="X32" s="9"/>
      <c r="Y32" s="9"/>
      <c r="Z32" s="9"/>
    </row>
    <row r="33" spans="1:26">
      <c r="A33" s="62"/>
      <c r="D33" s="158"/>
      <c r="E33" s="158"/>
      <c r="G33" s="9"/>
      <c r="H33" s="9"/>
      <c r="I33" s="9"/>
      <c r="J33" s="9"/>
      <c r="K33" s="9"/>
      <c r="L33" s="9"/>
      <c r="M33" s="9"/>
      <c r="N33" s="9"/>
      <c r="O33" s="9"/>
      <c r="P33" s="9"/>
      <c r="Q33" s="9"/>
      <c r="R33" s="9"/>
      <c r="S33" s="9"/>
      <c r="T33" s="9"/>
      <c r="U33" s="9"/>
      <c r="V33" s="9"/>
      <c r="W33" s="9"/>
      <c r="X33" s="9"/>
      <c r="Y33" s="9"/>
      <c r="Z33" s="9"/>
    </row>
    <row r="34" spans="1:26">
      <c r="A34" s="62"/>
      <c r="D34" s="158"/>
      <c r="E34" s="158"/>
      <c r="G34" s="9"/>
      <c r="H34" s="9"/>
      <c r="I34" s="9"/>
      <c r="J34" s="9"/>
      <c r="K34" s="9"/>
      <c r="L34" s="9"/>
      <c r="M34" s="9"/>
      <c r="N34" s="9"/>
      <c r="O34" s="9"/>
      <c r="P34" s="9"/>
      <c r="Q34" s="9"/>
      <c r="R34" s="9"/>
      <c r="S34" s="9"/>
      <c r="T34" s="9"/>
      <c r="U34" s="9"/>
      <c r="V34" s="9"/>
      <c r="W34" s="9"/>
      <c r="X34" s="9"/>
      <c r="Y34" s="9"/>
      <c r="Z34" s="9"/>
    </row>
    <row r="35" spans="1:26">
      <c r="A35" s="62"/>
      <c r="D35" s="158"/>
      <c r="E35" s="158"/>
      <c r="G35" s="9"/>
      <c r="H35" s="9"/>
      <c r="I35" s="9"/>
      <c r="J35" s="9"/>
      <c r="K35" s="9"/>
      <c r="L35" s="9"/>
      <c r="M35" s="9"/>
      <c r="N35" s="9"/>
      <c r="O35" s="9"/>
      <c r="P35" s="9"/>
      <c r="Q35" s="9"/>
      <c r="R35" s="9"/>
      <c r="S35" s="9"/>
      <c r="T35" s="9"/>
      <c r="U35" s="9"/>
      <c r="V35" s="9"/>
      <c r="W35" s="9"/>
      <c r="X35" s="9"/>
      <c r="Y35" s="9"/>
      <c r="Z35" s="9"/>
    </row>
    <row r="36" spans="1:26">
      <c r="A36" s="62"/>
      <c r="D36" s="158"/>
      <c r="E36" s="158"/>
      <c r="G36" s="9"/>
      <c r="H36" s="9"/>
      <c r="I36" s="9"/>
      <c r="J36" s="9"/>
      <c r="K36" s="9"/>
      <c r="L36" s="9"/>
      <c r="M36" s="9"/>
      <c r="N36" s="9"/>
      <c r="O36" s="9"/>
      <c r="P36" s="9"/>
      <c r="Q36" s="9"/>
      <c r="R36" s="9"/>
      <c r="S36" s="9"/>
      <c r="T36" s="9"/>
      <c r="U36" s="9"/>
      <c r="V36" s="9"/>
      <c r="W36" s="9"/>
      <c r="X36" s="9"/>
      <c r="Y36" s="9"/>
      <c r="Z36" s="9"/>
    </row>
    <row r="37" spans="1:26">
      <c r="A37" s="62"/>
      <c r="D37" s="158"/>
      <c r="E37" s="158"/>
      <c r="G37" s="9"/>
      <c r="H37" s="9"/>
      <c r="I37" s="9"/>
      <c r="J37" s="9"/>
      <c r="K37" s="9"/>
      <c r="L37" s="9"/>
      <c r="M37" s="9"/>
      <c r="N37" s="9"/>
      <c r="O37" s="9"/>
      <c r="P37" s="9"/>
      <c r="Q37" s="9"/>
      <c r="R37" s="9"/>
      <c r="S37" s="9"/>
      <c r="T37" s="9"/>
      <c r="U37" s="9"/>
      <c r="V37" s="9"/>
      <c r="W37" s="9"/>
      <c r="X37" s="9"/>
      <c r="Y37" s="9"/>
      <c r="Z37" s="9"/>
    </row>
    <row r="38" spans="1:26">
      <c r="A38" s="62"/>
      <c r="D38" s="158"/>
      <c r="E38" s="158"/>
      <c r="G38" s="9"/>
      <c r="H38" s="9"/>
      <c r="I38" s="9"/>
      <c r="J38" s="9"/>
      <c r="K38" s="9"/>
      <c r="L38" s="9"/>
      <c r="M38" s="9"/>
      <c r="N38" s="9"/>
      <c r="O38" s="9"/>
      <c r="P38" s="9"/>
      <c r="Q38" s="9"/>
      <c r="R38" s="9"/>
      <c r="S38" s="9"/>
      <c r="T38" s="9"/>
      <c r="U38" s="9"/>
      <c r="V38" s="9"/>
      <c r="W38" s="9"/>
      <c r="X38" s="9"/>
      <c r="Y38" s="9"/>
      <c r="Z38" s="9"/>
    </row>
    <row r="39" spans="1:26">
      <c r="A39" s="62"/>
      <c r="D39" s="158"/>
      <c r="E39" s="158"/>
      <c r="G39" s="9"/>
      <c r="H39" s="9"/>
      <c r="I39" s="9"/>
      <c r="J39" s="9"/>
      <c r="K39" s="9"/>
      <c r="L39" s="9"/>
      <c r="M39" s="9"/>
      <c r="N39" s="9"/>
      <c r="O39" s="9"/>
      <c r="P39" s="9"/>
      <c r="Q39" s="9"/>
      <c r="R39" s="9"/>
      <c r="S39" s="9"/>
      <c r="T39" s="9"/>
      <c r="U39" s="9"/>
      <c r="V39" s="9"/>
      <c r="W39" s="9"/>
      <c r="X39" s="9"/>
      <c r="Y39" s="9"/>
      <c r="Z39" s="9"/>
    </row>
    <row r="40" spans="1:26">
      <c r="A40" s="62"/>
      <c r="D40" s="158"/>
      <c r="E40" s="158"/>
      <c r="G40" s="9"/>
      <c r="H40" s="9"/>
      <c r="I40" s="9"/>
      <c r="J40" s="9"/>
      <c r="K40" s="9"/>
      <c r="L40" s="9"/>
      <c r="M40" s="9"/>
      <c r="N40" s="9"/>
      <c r="O40" s="9"/>
      <c r="P40" s="9"/>
      <c r="Q40" s="9"/>
      <c r="R40" s="9"/>
      <c r="S40" s="9"/>
      <c r="T40" s="9"/>
      <c r="U40" s="9"/>
      <c r="V40" s="9"/>
      <c r="W40" s="9"/>
      <c r="X40" s="9"/>
      <c r="Y40" s="9"/>
      <c r="Z40" s="9"/>
    </row>
    <row r="41" spans="1:26">
      <c r="A41" s="62"/>
      <c r="D41" s="158"/>
      <c r="E41" s="158"/>
      <c r="G41" s="9"/>
      <c r="H41" s="9"/>
      <c r="I41" s="9"/>
      <c r="J41" s="9"/>
      <c r="K41" s="9"/>
      <c r="L41" s="9"/>
      <c r="M41" s="9"/>
      <c r="N41" s="9"/>
      <c r="O41" s="9"/>
      <c r="P41" s="9"/>
      <c r="Q41" s="9"/>
      <c r="R41" s="9"/>
      <c r="S41" s="9"/>
      <c r="T41" s="9"/>
      <c r="U41" s="9"/>
      <c r="V41" s="9"/>
      <c r="W41" s="9"/>
      <c r="X41" s="9"/>
      <c r="Y41" s="9"/>
      <c r="Z41" s="9"/>
    </row>
    <row r="42" spans="1:26">
      <c r="A42" s="62"/>
      <c r="D42" s="158"/>
      <c r="E42" s="158"/>
      <c r="G42" s="9"/>
      <c r="H42" s="9"/>
      <c r="I42" s="9"/>
      <c r="J42" s="9"/>
      <c r="K42" s="9"/>
      <c r="L42" s="9"/>
      <c r="M42" s="9"/>
      <c r="N42" s="9"/>
      <c r="O42" s="9"/>
      <c r="P42" s="9"/>
      <c r="Q42" s="9"/>
      <c r="R42" s="9"/>
      <c r="S42" s="9"/>
      <c r="T42" s="9"/>
      <c r="U42" s="9"/>
      <c r="V42" s="9"/>
      <c r="W42" s="9"/>
      <c r="X42" s="9"/>
      <c r="Y42" s="9"/>
      <c r="Z42" s="9"/>
    </row>
    <row r="43" spans="1:26">
      <c r="A43" s="62"/>
      <c r="D43" s="158"/>
      <c r="E43" s="158"/>
      <c r="G43" s="9"/>
      <c r="H43" s="9"/>
      <c r="I43" s="9"/>
      <c r="J43" s="9"/>
      <c r="K43" s="9"/>
      <c r="L43" s="9"/>
      <c r="M43" s="9"/>
      <c r="N43" s="9"/>
      <c r="O43" s="9"/>
      <c r="P43" s="9"/>
      <c r="Q43" s="9"/>
      <c r="R43" s="9"/>
      <c r="S43" s="9"/>
      <c r="T43" s="9"/>
      <c r="U43" s="9"/>
      <c r="V43" s="9"/>
      <c r="W43" s="9"/>
      <c r="X43" s="9"/>
      <c r="Y43" s="9"/>
      <c r="Z43" s="9"/>
    </row>
    <row r="44" spans="1:26">
      <c r="A44" s="62"/>
      <c r="D44" s="158"/>
      <c r="E44" s="158"/>
      <c r="G44" s="9"/>
      <c r="H44" s="9"/>
      <c r="I44" s="9"/>
      <c r="J44" s="9"/>
      <c r="K44" s="9"/>
      <c r="L44" s="9"/>
      <c r="M44" s="9"/>
      <c r="N44" s="9"/>
      <c r="O44" s="9"/>
      <c r="P44" s="9"/>
      <c r="Q44" s="9"/>
      <c r="R44" s="9"/>
      <c r="S44" s="9"/>
      <c r="T44" s="9"/>
      <c r="U44" s="9"/>
      <c r="V44" s="9"/>
      <c r="W44" s="9"/>
      <c r="X44" s="9"/>
      <c r="Y44" s="9"/>
      <c r="Z44" s="9"/>
    </row>
    <row r="45" spans="1:26">
      <c r="A45" s="62"/>
      <c r="D45" s="158"/>
      <c r="E45" s="158"/>
      <c r="G45" s="9"/>
      <c r="H45" s="9"/>
      <c r="I45" s="9"/>
      <c r="J45" s="9"/>
      <c r="K45" s="9"/>
      <c r="L45" s="9"/>
      <c r="M45" s="9"/>
      <c r="N45" s="9"/>
      <c r="O45" s="9"/>
      <c r="P45" s="9"/>
      <c r="Q45" s="9"/>
      <c r="R45" s="9"/>
      <c r="S45" s="9"/>
      <c r="T45" s="9"/>
      <c r="U45" s="9"/>
      <c r="V45" s="9"/>
      <c r="W45" s="9"/>
      <c r="X45" s="9"/>
      <c r="Y45" s="9"/>
      <c r="Z45" s="9"/>
    </row>
    <row r="46" spans="1:26">
      <c r="A46" s="62"/>
      <c r="D46" s="158"/>
      <c r="E46" s="158"/>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47:E47"/>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D22:E22"/>
    <mergeCell ref="D23:E23"/>
    <mergeCell ref="D24:E24"/>
    <mergeCell ref="D25:E25"/>
    <mergeCell ref="D26:E26"/>
    <mergeCell ref="D17:E17"/>
    <mergeCell ref="D18:E18"/>
    <mergeCell ref="D19:E19"/>
    <mergeCell ref="D20:E20"/>
    <mergeCell ref="D21:E21"/>
    <mergeCell ref="D12:E12"/>
    <mergeCell ref="D13:E13"/>
    <mergeCell ref="D14:E14"/>
    <mergeCell ref="D15:E15"/>
    <mergeCell ref="D16:E16"/>
    <mergeCell ref="D7:E7"/>
    <mergeCell ref="D8:E8"/>
    <mergeCell ref="D9:E9"/>
    <mergeCell ref="D10:E10"/>
    <mergeCell ref="D11:E11"/>
    <mergeCell ref="D2:E2"/>
    <mergeCell ref="D3:E3"/>
    <mergeCell ref="D4:E4"/>
    <mergeCell ref="D5:E5"/>
    <mergeCell ref="D6:E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5">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2"/>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5"/>
  <sheetViews>
    <sheetView zoomScale="85" zoomScaleNormal="85" workbookViewId="0">
      <selection activeCell="H39" sqref="H39"/>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5">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0">
        <v>0</v>
      </c>
      <c r="B4" s="140">
        <v>0.05</v>
      </c>
      <c r="C4" s="141">
        <f>AVERAGE(A4:B4)</f>
        <v>2.5000000000000001E-2</v>
      </c>
      <c r="D4" s="62" t="s">
        <v>322</v>
      </c>
      <c r="E4" s="6">
        <f>321.7-152.8</f>
        <v>168.89999999999998</v>
      </c>
      <c r="F4" s="6">
        <v>9.92</v>
      </c>
      <c r="G4" s="6">
        <f>K25*E4/(E4-F4)</f>
        <v>0.88550855453516164</v>
      </c>
      <c r="H4" s="6" t="s">
        <v>360</v>
      </c>
      <c r="I4" s="9"/>
      <c r="J4" s="9"/>
      <c r="K4" s="9"/>
      <c r="L4" s="9"/>
      <c r="M4" s="9"/>
      <c r="N4" s="9"/>
      <c r="O4" s="9"/>
      <c r="P4" s="9"/>
      <c r="Q4" s="9"/>
      <c r="R4" s="9"/>
      <c r="S4" s="9"/>
      <c r="T4" s="9"/>
      <c r="U4" s="9"/>
      <c r="V4" s="9"/>
    </row>
    <row r="5" spans="1:1024">
      <c r="A5" s="140">
        <v>0.05</v>
      </c>
      <c r="B5" s="141">
        <v>0.1</v>
      </c>
      <c r="C5" s="141">
        <f t="shared" ref="C5:C35" si="0">AVERAGE(A5:B5)</f>
        <v>7.5000000000000011E-2</v>
      </c>
      <c r="D5" s="62" t="s">
        <v>323</v>
      </c>
      <c r="E5" s="6">
        <v>227.2</v>
      </c>
      <c r="F5" s="6">
        <v>3.1</v>
      </c>
      <c r="G5" s="6">
        <f>K25*E5/(E5-F5)</f>
        <v>0.84502989736724676</v>
      </c>
      <c r="H5" s="6" t="s">
        <v>361</v>
      </c>
      <c r="I5" s="9"/>
      <c r="J5" s="9"/>
      <c r="K5" s="9"/>
      <c r="L5" s="9"/>
      <c r="M5" s="9"/>
      <c r="N5" s="9"/>
      <c r="O5" s="9"/>
      <c r="P5" s="9"/>
      <c r="Q5" s="9"/>
      <c r="R5" s="9"/>
      <c r="S5" s="9"/>
      <c r="T5" s="9"/>
      <c r="U5" s="9"/>
      <c r="V5" s="9"/>
    </row>
    <row r="6" spans="1:1024">
      <c r="A6" s="140">
        <v>0.1</v>
      </c>
      <c r="B6" s="140">
        <v>0.15</v>
      </c>
      <c r="C6" s="141">
        <f t="shared" si="0"/>
        <v>0.125</v>
      </c>
      <c r="D6" s="62" t="s">
        <v>324</v>
      </c>
      <c r="E6" s="6">
        <v>256.60000000000002</v>
      </c>
      <c r="F6" s="6">
        <v>11.5</v>
      </c>
      <c r="G6" s="6">
        <f>K25*E6/(E6-F6)</f>
        <v>0.87260750713994295</v>
      </c>
      <c r="H6" s="6" t="s">
        <v>361</v>
      </c>
      <c r="I6" s="9"/>
      <c r="J6" s="9"/>
      <c r="K6" s="9"/>
      <c r="L6" s="9"/>
      <c r="M6" s="9"/>
      <c r="N6" s="9"/>
      <c r="O6" s="9"/>
      <c r="P6" s="9"/>
      <c r="Q6" s="9"/>
      <c r="R6" s="9"/>
      <c r="S6" s="9"/>
      <c r="T6" s="9"/>
      <c r="U6" s="9"/>
      <c r="V6" s="9"/>
    </row>
    <row r="7" spans="1:1024">
      <c r="A7" s="140">
        <v>0.15</v>
      </c>
      <c r="B7" s="141">
        <v>0.2</v>
      </c>
      <c r="C7" s="141">
        <f t="shared" si="0"/>
        <v>0.17499999999999999</v>
      </c>
      <c r="D7" s="62" t="s">
        <v>325</v>
      </c>
      <c r="E7" s="6">
        <v>242.4</v>
      </c>
      <c r="F7" s="6">
        <v>1.63</v>
      </c>
      <c r="G7" s="6">
        <f>K25*E7/(E7-F7)</f>
        <v>0.83914275034265062</v>
      </c>
      <c r="H7" s="6" t="s">
        <v>362</v>
      </c>
      <c r="I7" s="9"/>
      <c r="J7" s="9"/>
      <c r="K7" s="9"/>
      <c r="L7" s="9"/>
      <c r="M7" s="9"/>
      <c r="N7" s="9"/>
      <c r="O7" s="9"/>
      <c r="P7" s="9"/>
      <c r="Q7" s="9"/>
      <c r="R7" s="9"/>
      <c r="S7" s="9"/>
      <c r="T7" s="9"/>
      <c r="U7" s="9"/>
      <c r="V7" s="9"/>
    </row>
    <row r="8" spans="1:1024">
      <c r="A8" s="140">
        <v>0.2</v>
      </c>
      <c r="B8" s="140">
        <v>0.25</v>
      </c>
      <c r="C8" s="141">
        <f t="shared" si="0"/>
        <v>0.22500000000000001</v>
      </c>
      <c r="D8" s="62" t="s">
        <v>326</v>
      </c>
      <c r="E8" s="6">
        <v>263.3</v>
      </c>
      <c r="F8" s="6">
        <v>4.0999999999999996</v>
      </c>
      <c r="G8" s="6">
        <f>K26*E8/(E8-F8)</f>
        <v>0.84871585648148162</v>
      </c>
      <c r="H8" s="6" t="s">
        <v>363</v>
      </c>
      <c r="I8" s="9"/>
      <c r="J8" s="9"/>
      <c r="K8" s="9"/>
      <c r="L8" s="9"/>
      <c r="M8" s="9"/>
      <c r="N8" s="9"/>
      <c r="O8" s="9"/>
      <c r="P8" s="9"/>
      <c r="Q8" s="9"/>
      <c r="R8" s="9"/>
      <c r="S8" s="9"/>
      <c r="T8" s="9"/>
      <c r="U8" s="9"/>
      <c r="V8" s="9"/>
    </row>
    <row r="9" spans="1:1024">
      <c r="A9" s="140">
        <v>0.25</v>
      </c>
      <c r="B9" s="141">
        <v>0.3</v>
      </c>
      <c r="C9" s="141">
        <f t="shared" si="0"/>
        <v>0.27500000000000002</v>
      </c>
      <c r="D9" s="62" t="s">
        <v>327</v>
      </c>
      <c r="E9" s="6">
        <v>262.3</v>
      </c>
      <c r="F9" s="6">
        <v>10.52</v>
      </c>
      <c r="G9" s="6">
        <f>K26*E9/(E9-F9)</f>
        <v>0.87040928588450239</v>
      </c>
      <c r="H9" s="6" t="s">
        <v>364</v>
      </c>
      <c r="I9" s="9"/>
      <c r="J9" s="9"/>
      <c r="K9" s="9"/>
      <c r="L9" s="9"/>
      <c r="M9" s="9"/>
      <c r="N9" s="9"/>
      <c r="O9" s="9"/>
      <c r="P9" s="9"/>
      <c r="Q9" s="9"/>
      <c r="R9" s="9"/>
      <c r="S9" s="9"/>
      <c r="T9" s="9"/>
      <c r="U9" s="9"/>
      <c r="V9" s="9"/>
    </row>
    <row r="10" spans="1:1024">
      <c r="A10" s="140">
        <v>0.3</v>
      </c>
      <c r="B10" s="140">
        <v>0.35</v>
      </c>
      <c r="C10" s="141">
        <f t="shared" si="0"/>
        <v>0.32499999999999996</v>
      </c>
      <c r="D10" s="62" t="s">
        <v>328</v>
      </c>
      <c r="E10" s="6">
        <v>265.60000000000002</v>
      </c>
      <c r="F10" s="6">
        <v>17.38</v>
      </c>
      <c r="G10" s="6">
        <f>K26*E10/(E10-F10)</f>
        <v>0.89400048344210781</v>
      </c>
      <c r="H10" s="6" t="s">
        <v>365</v>
      </c>
      <c r="I10" s="9"/>
      <c r="J10" s="9"/>
      <c r="K10" s="9"/>
      <c r="L10" s="9"/>
      <c r="M10" s="9"/>
      <c r="N10" s="9"/>
      <c r="O10" s="9"/>
      <c r="P10" s="9"/>
      <c r="Q10" s="9"/>
      <c r="R10" s="9"/>
      <c r="S10" s="9"/>
      <c r="T10" s="9"/>
      <c r="U10" s="9"/>
      <c r="V10" s="9"/>
    </row>
    <row r="11" spans="1:1024">
      <c r="A11" s="140">
        <v>0.35</v>
      </c>
      <c r="B11" s="141">
        <v>0.4</v>
      </c>
      <c r="C11" s="141">
        <f t="shared" si="0"/>
        <v>0.375</v>
      </c>
      <c r="D11" s="62" t="s">
        <v>329</v>
      </c>
      <c r="E11" s="6">
        <v>285.2</v>
      </c>
      <c r="F11" s="6">
        <v>21.3</v>
      </c>
      <c r="G11" s="6">
        <f>K26*E11/(E11-F11)</f>
        <v>0.90293520272830619</v>
      </c>
      <c r="H11" s="6" t="s">
        <v>366</v>
      </c>
      <c r="I11" s="9"/>
      <c r="J11" s="9"/>
      <c r="K11" s="9"/>
      <c r="L11" s="9"/>
      <c r="M11" s="9"/>
      <c r="N11" s="9"/>
      <c r="O11" s="9"/>
      <c r="P11" s="9"/>
      <c r="Q11" s="9"/>
      <c r="R11" s="9"/>
      <c r="S11" s="9"/>
      <c r="T11" s="9"/>
      <c r="U11" s="9"/>
      <c r="V11" s="9"/>
    </row>
    <row r="12" spans="1:1024">
      <c r="A12" s="140">
        <v>0.4</v>
      </c>
      <c r="B12" s="140">
        <v>0.45</v>
      </c>
      <c r="C12" s="141">
        <f t="shared" si="0"/>
        <v>0.42500000000000004</v>
      </c>
      <c r="D12" s="62" t="s">
        <v>330</v>
      </c>
      <c r="E12" s="6">
        <v>269.3</v>
      </c>
      <c r="F12" s="6">
        <v>19.600000000000001</v>
      </c>
      <c r="G12" s="6">
        <f>K26*E12/(E12-F12)</f>
        <v>0.9010818982779335</v>
      </c>
      <c r="H12" s="6" t="s">
        <v>366</v>
      </c>
      <c r="I12" s="9"/>
      <c r="J12" s="9"/>
      <c r="K12" s="9"/>
      <c r="L12" s="9"/>
      <c r="M12" s="9"/>
      <c r="N12" s="9"/>
      <c r="O12" s="9"/>
      <c r="P12" s="9"/>
      <c r="Q12" s="9"/>
      <c r="R12" s="9"/>
      <c r="S12" s="9"/>
      <c r="T12" s="9"/>
      <c r="U12" s="9"/>
      <c r="V12" s="9"/>
    </row>
    <row r="13" spans="1:1024">
      <c r="A13" s="140">
        <v>0.45</v>
      </c>
      <c r="B13" s="141">
        <v>0.5</v>
      </c>
      <c r="C13" s="141">
        <f t="shared" si="0"/>
        <v>0.47499999999999998</v>
      </c>
      <c r="D13" s="62" t="s">
        <v>331</v>
      </c>
      <c r="E13" s="6">
        <v>261.01</v>
      </c>
      <c r="F13" s="6">
        <v>9.6</v>
      </c>
      <c r="G13" s="6">
        <f>K26*E13/(E13-F13)</f>
        <v>0.86740326558211689</v>
      </c>
      <c r="H13" s="6" t="s">
        <v>367</v>
      </c>
      <c r="I13" s="9"/>
      <c r="J13" s="9"/>
      <c r="K13" s="9"/>
      <c r="L13" s="9"/>
      <c r="M13" s="9"/>
      <c r="N13" s="9"/>
      <c r="O13" s="9"/>
      <c r="P13" s="9"/>
      <c r="Q13" s="9"/>
      <c r="R13" s="9"/>
      <c r="S13" s="9"/>
      <c r="T13" s="9"/>
      <c r="U13" s="9"/>
      <c r="V13" s="9"/>
    </row>
    <row r="14" spans="1:1024">
      <c r="A14" s="140">
        <v>0.5</v>
      </c>
      <c r="B14" s="140">
        <v>0.55000000000000004</v>
      </c>
      <c r="C14" s="141">
        <f t="shared" si="0"/>
        <v>0.52500000000000002</v>
      </c>
      <c r="D14" s="62" t="s">
        <v>332</v>
      </c>
      <c r="E14" s="6">
        <v>206.3</v>
      </c>
      <c r="F14" s="6">
        <v>15.55</v>
      </c>
      <c r="G14" s="6">
        <f>K26*E14/(E14-F14)</f>
        <v>0.90361022280471825</v>
      </c>
      <c r="H14" s="6" t="s">
        <v>366</v>
      </c>
      <c r="I14" s="9"/>
      <c r="J14" s="9"/>
      <c r="K14" s="9"/>
      <c r="L14" s="9"/>
      <c r="M14" s="9"/>
      <c r="N14" s="9"/>
      <c r="O14" s="9"/>
      <c r="P14" s="9"/>
      <c r="Q14" s="9"/>
      <c r="R14" s="9"/>
      <c r="S14" s="9"/>
      <c r="T14" s="9"/>
      <c r="U14" s="9"/>
      <c r="V14" s="9"/>
    </row>
    <row r="15" spans="1:1024">
      <c r="A15" s="140">
        <v>0.55000000000000004</v>
      </c>
      <c r="B15" s="141">
        <v>0.6</v>
      </c>
      <c r="C15" s="141">
        <f t="shared" si="0"/>
        <v>0.57499999999999996</v>
      </c>
      <c r="D15" s="62" t="s">
        <v>333</v>
      </c>
      <c r="E15" s="6">
        <v>226.2</v>
      </c>
      <c r="F15" s="6">
        <v>4</v>
      </c>
      <c r="G15" s="6">
        <f>K26*E15/(E15-F15)</f>
        <v>0.85054050405040504</v>
      </c>
      <c r="H15" s="6" t="s">
        <v>367</v>
      </c>
      <c r="I15" s="9"/>
      <c r="J15" s="9"/>
      <c r="K15" s="9"/>
      <c r="L15" s="9"/>
      <c r="M15" s="9"/>
      <c r="N15" s="9"/>
      <c r="O15" s="9"/>
      <c r="P15" s="9"/>
      <c r="Q15" s="9"/>
      <c r="R15" s="9"/>
      <c r="S15" s="9"/>
      <c r="T15" s="9"/>
      <c r="U15" s="9"/>
      <c r="V15" s="9"/>
    </row>
    <row r="16" spans="1:1024">
      <c r="A16" s="140">
        <v>0.6</v>
      </c>
      <c r="B16" s="140">
        <v>0.65</v>
      </c>
      <c r="C16" s="141">
        <f t="shared" si="0"/>
        <v>0.625</v>
      </c>
      <c r="D16" s="62" t="s">
        <v>334</v>
      </c>
      <c r="E16" s="6">
        <v>278.58999999999997</v>
      </c>
      <c r="F16" s="6">
        <v>12.4</v>
      </c>
      <c r="G16" s="6">
        <f>K26*E16/(E16-F16)</f>
        <v>0.87442032007212889</v>
      </c>
      <c r="H16" s="6" t="s">
        <v>367</v>
      </c>
      <c r="I16" s="9"/>
      <c r="J16" s="9"/>
      <c r="K16" s="9"/>
      <c r="L16" s="9"/>
      <c r="M16" s="9"/>
      <c r="N16" s="9"/>
      <c r="O16" s="9"/>
      <c r="P16" s="9"/>
      <c r="Q16" s="9"/>
      <c r="R16" s="9"/>
      <c r="S16" s="9"/>
      <c r="T16" s="9"/>
      <c r="U16" s="9"/>
      <c r="V16" s="9"/>
    </row>
    <row r="17" spans="1:22">
      <c r="A17" s="140">
        <v>0.65</v>
      </c>
      <c r="B17" s="141">
        <v>0.7</v>
      </c>
      <c r="C17" s="141">
        <f t="shared" si="0"/>
        <v>0.67500000000000004</v>
      </c>
      <c r="D17" s="62" t="s">
        <v>335</v>
      </c>
      <c r="E17" s="6">
        <v>265.98</v>
      </c>
      <c r="F17" s="6">
        <v>18.2</v>
      </c>
      <c r="G17" s="6">
        <f>K26*E17/(E17-F17)</f>
        <v>0.89686935991605454</v>
      </c>
      <c r="H17" s="6" t="s">
        <v>366</v>
      </c>
      <c r="I17" s="9"/>
      <c r="J17" s="9"/>
      <c r="K17" s="9"/>
      <c r="L17" s="9"/>
      <c r="M17" s="9"/>
      <c r="N17" s="9"/>
      <c r="O17" s="9"/>
      <c r="P17" s="9"/>
      <c r="Q17" s="9"/>
      <c r="R17" s="9"/>
      <c r="S17" s="9"/>
      <c r="T17" s="9"/>
      <c r="U17" s="9"/>
      <c r="V17" s="9"/>
    </row>
    <row r="18" spans="1:22">
      <c r="A18" s="140">
        <v>0.7</v>
      </c>
      <c r="B18" s="140">
        <v>0.75</v>
      </c>
      <c r="C18" s="141">
        <f t="shared" si="0"/>
        <v>0.72499999999999998</v>
      </c>
      <c r="D18" s="62" t="s">
        <v>336</v>
      </c>
      <c r="E18" s="6">
        <v>247.91</v>
      </c>
      <c r="F18" s="6">
        <v>17.8</v>
      </c>
      <c r="G18" s="6">
        <f>K26*E18/(E18-F18)</f>
        <v>0.90012952500977794</v>
      </c>
      <c r="H18" s="6" t="s">
        <v>366</v>
      </c>
      <c r="I18" s="9"/>
      <c r="J18" s="9"/>
      <c r="K18" s="9"/>
      <c r="L18" s="9"/>
      <c r="M18" s="9"/>
      <c r="N18" s="9"/>
      <c r="O18" s="9"/>
      <c r="P18" s="9"/>
      <c r="Q18" s="9"/>
      <c r="R18" s="9"/>
      <c r="S18" s="9"/>
      <c r="T18" s="9"/>
      <c r="U18" s="9"/>
      <c r="V18" s="9"/>
    </row>
    <row r="19" spans="1:22">
      <c r="A19" s="140">
        <v>0.75</v>
      </c>
      <c r="B19" s="141">
        <v>0.8</v>
      </c>
      <c r="C19" s="141">
        <f t="shared" si="0"/>
        <v>0.77500000000000002</v>
      </c>
      <c r="D19" s="62" t="s">
        <v>337</v>
      </c>
      <c r="E19" s="6">
        <v>236.6</v>
      </c>
      <c r="F19" s="6">
        <v>8.44</v>
      </c>
      <c r="G19" s="6">
        <f>K26*E19/(E19-F19)</f>
        <v>0.86640646914446007</v>
      </c>
      <c r="H19" s="6" t="s">
        <v>367</v>
      </c>
      <c r="I19" s="9"/>
      <c r="J19" s="9"/>
      <c r="K19" s="9"/>
      <c r="L19" s="9"/>
      <c r="M19" s="9"/>
      <c r="N19" s="9"/>
      <c r="O19" s="9"/>
      <c r="P19" s="9"/>
      <c r="Q19" s="9"/>
      <c r="R19" s="9"/>
      <c r="S19" s="9"/>
      <c r="T19" s="9"/>
      <c r="U19" s="9"/>
      <c r="V19" s="9"/>
    </row>
    <row r="20" spans="1:22">
      <c r="A20" s="140">
        <v>0.8</v>
      </c>
      <c r="B20" s="140">
        <v>0.85</v>
      </c>
      <c r="C20" s="141">
        <f t="shared" si="0"/>
        <v>0.82499999999999996</v>
      </c>
      <c r="D20" s="62" t="s">
        <v>338</v>
      </c>
      <c r="E20" s="6">
        <v>258.3</v>
      </c>
      <c r="F20" s="6">
        <v>16.97</v>
      </c>
      <c r="G20" s="6">
        <f>K26*E20/(E20-F20)</f>
        <v>0.8942512327518336</v>
      </c>
      <c r="H20" s="6" t="s">
        <v>366</v>
      </c>
      <c r="I20" s="9"/>
      <c r="J20" s="9"/>
      <c r="K20" s="9"/>
      <c r="L20" s="9"/>
      <c r="M20" s="9"/>
      <c r="N20" s="9"/>
      <c r="O20" s="9"/>
      <c r="P20" s="9"/>
      <c r="Q20" s="9"/>
      <c r="R20" s="9"/>
      <c r="S20" s="9"/>
      <c r="T20" s="9"/>
      <c r="U20" s="9"/>
      <c r="V20" s="9"/>
    </row>
    <row r="21" spans="1:22">
      <c r="A21" s="142">
        <v>0.85</v>
      </c>
      <c r="B21" s="141">
        <v>0.9</v>
      </c>
      <c r="C21" s="141">
        <f t="shared" si="0"/>
        <v>0.875</v>
      </c>
      <c r="D21" s="62" t="s">
        <v>339</v>
      </c>
      <c r="E21" s="6">
        <v>159.1</v>
      </c>
      <c r="F21" s="6">
        <v>9.8000000000000007</v>
      </c>
      <c r="G21" s="6">
        <f>0.8355*E21/(E21-F21)</f>
        <v>0.89034192900200937</v>
      </c>
      <c r="H21" s="6" t="s">
        <v>368</v>
      </c>
      <c r="I21" s="9"/>
      <c r="J21" s="9"/>
      <c r="K21" s="9"/>
      <c r="L21" s="9"/>
      <c r="M21" s="9"/>
      <c r="N21" s="9"/>
      <c r="O21" s="9"/>
      <c r="P21" s="9"/>
      <c r="Q21" s="9"/>
      <c r="R21" s="9"/>
      <c r="S21" s="9"/>
      <c r="T21" s="9"/>
      <c r="U21" s="9"/>
      <c r="V21" s="9"/>
    </row>
    <row r="22" spans="1:22">
      <c r="A22" s="142">
        <v>0.9</v>
      </c>
      <c r="B22" s="141">
        <v>0.94</v>
      </c>
      <c r="C22" s="141">
        <f t="shared" si="0"/>
        <v>0.91999999999999993</v>
      </c>
      <c r="D22" s="62" t="s">
        <v>340</v>
      </c>
      <c r="E22" s="6">
        <v>192.9</v>
      </c>
      <c r="F22" s="6">
        <v>16.100000000000001</v>
      </c>
      <c r="G22" s="6">
        <f>0.8335*E22/(E22-F22)</f>
        <v>0.90940130090497728</v>
      </c>
      <c r="H22" s="6" t="s">
        <v>366</v>
      </c>
      <c r="I22" s="9"/>
      <c r="J22" s="9"/>
      <c r="K22" s="9"/>
      <c r="L22" s="9"/>
      <c r="M22" s="9"/>
      <c r="N22" s="9"/>
      <c r="O22" s="9"/>
      <c r="P22" s="9"/>
      <c r="Q22" s="9"/>
      <c r="R22" s="9"/>
      <c r="S22" s="9"/>
      <c r="T22" s="9"/>
      <c r="U22" s="9"/>
      <c r="V22" s="9"/>
    </row>
    <row r="23" spans="1:22">
      <c r="A23" s="142">
        <v>0.94</v>
      </c>
      <c r="B23" s="141">
        <v>0.99</v>
      </c>
      <c r="C23" s="141">
        <f t="shared" si="0"/>
        <v>0.96499999999999997</v>
      </c>
      <c r="D23" s="62" t="s">
        <v>341</v>
      </c>
      <c r="E23" s="6">
        <v>260.3</v>
      </c>
      <c r="F23" s="6">
        <v>19.8</v>
      </c>
      <c r="G23" s="6">
        <f t="shared" ref="G23:G35" si="1">0.8335*E23/(E23-F23)</f>
        <v>0.90212079002079015</v>
      </c>
      <c r="H23" s="6" t="s">
        <v>369</v>
      </c>
      <c r="I23" s="9"/>
      <c r="J23" s="9"/>
      <c r="K23" s="9"/>
      <c r="L23" s="9"/>
      <c r="M23" s="9"/>
      <c r="N23" s="9"/>
      <c r="O23" s="9"/>
      <c r="P23" s="9"/>
      <c r="Q23" s="9"/>
      <c r="R23" s="9"/>
      <c r="S23" s="9"/>
      <c r="T23" s="9"/>
      <c r="U23" s="9"/>
      <c r="V23" s="9"/>
    </row>
    <row r="24" spans="1:22">
      <c r="A24" s="140">
        <v>0.99</v>
      </c>
      <c r="B24" s="140">
        <v>1.04</v>
      </c>
      <c r="C24" s="141">
        <f t="shared" si="0"/>
        <v>1.0150000000000001</v>
      </c>
      <c r="D24" s="62" t="s">
        <v>342</v>
      </c>
      <c r="E24" s="6">
        <v>282.8</v>
      </c>
      <c r="F24" s="6">
        <v>22.84</v>
      </c>
      <c r="G24" s="6">
        <f t="shared" si="1"/>
        <v>0.90673103554392975</v>
      </c>
      <c r="H24" s="6" t="s">
        <v>370</v>
      </c>
      <c r="I24" s="9"/>
      <c r="J24" s="9"/>
      <c r="K24" s="9"/>
      <c r="L24" s="9"/>
      <c r="M24" s="9"/>
      <c r="N24" s="9"/>
      <c r="O24" s="9"/>
      <c r="P24" s="9"/>
      <c r="Q24" s="9"/>
      <c r="R24" s="9"/>
      <c r="S24" s="9"/>
      <c r="T24" s="9"/>
      <c r="U24" s="9"/>
      <c r="V24" s="9"/>
    </row>
    <row r="25" spans="1:22">
      <c r="A25" s="142">
        <v>1.04</v>
      </c>
      <c r="B25" s="141">
        <v>1.0900000000000001</v>
      </c>
      <c r="C25" s="141">
        <f t="shared" si="0"/>
        <v>1.0649999999999999</v>
      </c>
      <c r="D25" s="62" t="s">
        <v>343</v>
      </c>
      <c r="E25" s="6">
        <v>276.89999999999998</v>
      </c>
      <c r="F25" s="6">
        <v>23.8</v>
      </c>
      <c r="G25" s="6">
        <f t="shared" si="1"/>
        <v>0.91187732121691034</v>
      </c>
      <c r="H25" s="6" t="s">
        <v>370</v>
      </c>
      <c r="I25" s="9" t="s">
        <v>354</v>
      </c>
      <c r="J25" s="9"/>
      <c r="K25" s="9">
        <v>0.83350000000000002</v>
      </c>
      <c r="L25" s="9" t="s">
        <v>356</v>
      </c>
      <c r="M25" s="9"/>
      <c r="N25" s="9"/>
      <c r="O25" s="9"/>
      <c r="P25" s="9"/>
      <c r="Q25" s="9"/>
      <c r="R25" s="9"/>
      <c r="S25" s="9"/>
      <c r="T25" s="9"/>
      <c r="U25" s="9"/>
      <c r="V25" s="9"/>
    </row>
    <row r="26" spans="1:22">
      <c r="A26" s="140">
        <v>1.0900000000000001</v>
      </c>
      <c r="B26" s="140">
        <v>1.1399999999999999</v>
      </c>
      <c r="C26" s="141">
        <f t="shared" si="0"/>
        <v>1.115</v>
      </c>
      <c r="D26" s="62" t="s">
        <v>344</v>
      </c>
      <c r="E26" s="6">
        <v>254.9</v>
      </c>
      <c r="F26" s="6">
        <v>21.5</v>
      </c>
      <c r="G26" s="6">
        <f t="shared" si="1"/>
        <v>0.9102791345329907</v>
      </c>
      <c r="H26" s="6" t="s">
        <v>370</v>
      </c>
      <c r="I26" s="9" t="s">
        <v>355</v>
      </c>
      <c r="J26" s="9"/>
      <c r="K26" s="9">
        <v>0.83550000000000002</v>
      </c>
      <c r="L26" s="9" t="s">
        <v>357</v>
      </c>
      <c r="M26" s="9"/>
      <c r="N26" s="9"/>
      <c r="O26" s="9"/>
      <c r="P26" s="9"/>
      <c r="Q26" s="9"/>
      <c r="R26" s="9"/>
      <c r="S26" s="9"/>
      <c r="T26" s="9"/>
      <c r="U26" s="9"/>
      <c r="V26" s="9"/>
    </row>
    <row r="27" spans="1:22">
      <c r="A27" s="142">
        <v>1.1399999999999999</v>
      </c>
      <c r="B27" s="141">
        <v>1.19</v>
      </c>
      <c r="C27" s="141">
        <f t="shared" si="0"/>
        <v>1.165</v>
      </c>
      <c r="D27" s="62" t="s">
        <v>345</v>
      </c>
      <c r="E27" s="6">
        <v>263.10000000000002</v>
      </c>
      <c r="F27" s="6">
        <v>23.2</v>
      </c>
      <c r="G27" s="6">
        <f t="shared" si="1"/>
        <v>0.91410525218841177</v>
      </c>
      <c r="H27" s="6" t="s">
        <v>370</v>
      </c>
      <c r="I27" s="9"/>
      <c r="J27" s="9"/>
      <c r="K27" s="9"/>
      <c r="L27" s="9"/>
      <c r="M27" s="9"/>
      <c r="N27" s="9"/>
      <c r="O27" s="9"/>
      <c r="P27" s="9"/>
      <c r="Q27" s="9"/>
      <c r="R27" s="9"/>
      <c r="S27" s="9"/>
      <c r="T27" s="9"/>
      <c r="U27" s="9"/>
      <c r="V27" s="9"/>
    </row>
    <row r="28" spans="1:22">
      <c r="A28" s="140">
        <v>1.19</v>
      </c>
      <c r="B28" s="140">
        <v>1.24</v>
      </c>
      <c r="C28" s="141">
        <f t="shared" si="0"/>
        <v>1.2149999999999999</v>
      </c>
      <c r="D28" s="62" t="s">
        <v>346</v>
      </c>
      <c r="E28" s="6">
        <v>271.2</v>
      </c>
      <c r="F28" s="6">
        <v>24.2</v>
      </c>
      <c r="G28" s="6">
        <f t="shared" si="1"/>
        <v>0.91516275303643724</v>
      </c>
      <c r="H28" s="6" t="s">
        <v>370</v>
      </c>
      <c r="I28" s="9"/>
      <c r="J28" s="9"/>
      <c r="K28" s="9"/>
      <c r="L28" s="9"/>
      <c r="M28" s="9"/>
      <c r="N28" s="9"/>
      <c r="O28" s="9"/>
      <c r="P28" s="9"/>
      <c r="Q28" s="9"/>
      <c r="R28" s="9"/>
      <c r="S28" s="9"/>
      <c r="T28" s="9"/>
      <c r="U28" s="9"/>
      <c r="V28" s="9"/>
    </row>
    <row r="29" spans="1:22">
      <c r="A29" s="142">
        <v>1.24</v>
      </c>
      <c r="B29" s="141">
        <v>1.29</v>
      </c>
      <c r="C29" s="141">
        <f t="shared" si="0"/>
        <v>1.2650000000000001</v>
      </c>
      <c r="D29" s="62" t="s">
        <v>347</v>
      </c>
      <c r="E29" s="6">
        <v>271.39999999999998</v>
      </c>
      <c r="F29" s="6">
        <v>24.1</v>
      </c>
      <c r="G29" s="6">
        <f t="shared" si="1"/>
        <v>0.91472664779619894</v>
      </c>
      <c r="H29" s="6" t="s">
        <v>370</v>
      </c>
      <c r="I29" s="9"/>
      <c r="J29" s="9"/>
      <c r="K29" s="9"/>
      <c r="L29" s="9"/>
      <c r="M29" s="9"/>
      <c r="N29" s="9"/>
      <c r="O29" s="9"/>
      <c r="P29" s="9"/>
      <c r="Q29" s="9"/>
      <c r="R29" s="9"/>
      <c r="S29" s="9"/>
      <c r="T29" s="9"/>
      <c r="U29" s="9"/>
      <c r="V29" s="9"/>
    </row>
    <row r="30" spans="1:22">
      <c r="A30" s="140">
        <v>1.29</v>
      </c>
      <c r="B30" s="140">
        <v>1.34</v>
      </c>
      <c r="C30" s="141">
        <f t="shared" si="0"/>
        <v>1.3149999999999999</v>
      </c>
      <c r="D30" s="62" t="s">
        <v>348</v>
      </c>
      <c r="E30" s="6">
        <v>262.61</v>
      </c>
      <c r="F30" s="6">
        <v>21.5</v>
      </c>
      <c r="G30" s="6">
        <f t="shared" si="1"/>
        <v>0.90782396001824905</v>
      </c>
      <c r="H30" s="6" t="s">
        <v>370</v>
      </c>
      <c r="I30" s="9"/>
      <c r="J30" s="9"/>
      <c r="K30" s="9"/>
      <c r="L30" s="9"/>
      <c r="M30" s="9"/>
      <c r="N30" s="9"/>
      <c r="O30" s="9"/>
      <c r="P30" s="9"/>
      <c r="Q30" s="9"/>
      <c r="R30" s="9"/>
      <c r="S30" s="9"/>
      <c r="T30" s="9"/>
      <c r="U30" s="9"/>
      <c r="V30" s="9"/>
    </row>
    <row r="31" spans="1:22">
      <c r="A31" s="142">
        <v>1.34</v>
      </c>
      <c r="B31" s="141">
        <v>1.39</v>
      </c>
      <c r="C31" s="141">
        <f t="shared" si="0"/>
        <v>1.365</v>
      </c>
      <c r="D31" s="62" t="s">
        <v>349</v>
      </c>
      <c r="E31" s="6">
        <v>288.8</v>
      </c>
      <c r="F31" s="6">
        <v>25.3</v>
      </c>
      <c r="G31" s="6">
        <f t="shared" si="1"/>
        <v>0.91352865275142325</v>
      </c>
      <c r="H31" s="6" t="s">
        <v>370</v>
      </c>
      <c r="I31" s="9"/>
      <c r="J31" s="9"/>
      <c r="K31" s="9"/>
      <c r="L31" s="9"/>
      <c r="M31" s="9"/>
      <c r="N31" s="9"/>
      <c r="O31" s="9"/>
      <c r="P31" s="9"/>
      <c r="Q31" s="9"/>
      <c r="R31" s="9"/>
      <c r="S31" s="9"/>
      <c r="T31" s="9"/>
      <c r="U31" s="9"/>
      <c r="V31" s="9"/>
    </row>
    <row r="32" spans="1:22">
      <c r="A32" s="140">
        <v>1.39</v>
      </c>
      <c r="B32" s="140">
        <v>1.44</v>
      </c>
      <c r="C32" s="141">
        <f t="shared" si="0"/>
        <v>1.415</v>
      </c>
      <c r="D32" s="62" t="s">
        <v>350</v>
      </c>
      <c r="E32" s="6">
        <v>274.89999999999998</v>
      </c>
      <c r="F32" s="6">
        <v>24.75</v>
      </c>
      <c r="G32" s="6">
        <f t="shared" si="1"/>
        <v>0.91596701978812711</v>
      </c>
      <c r="H32" s="6" t="s">
        <v>370</v>
      </c>
      <c r="I32" s="9"/>
      <c r="J32" s="9"/>
      <c r="K32" s="9"/>
      <c r="L32" s="9"/>
      <c r="M32" s="9"/>
      <c r="N32" s="9"/>
      <c r="O32" s="9"/>
      <c r="P32" s="9"/>
      <c r="Q32" s="9"/>
      <c r="R32" s="9"/>
      <c r="S32" s="9"/>
      <c r="T32" s="9"/>
      <c r="U32" s="9"/>
      <c r="V32" s="9"/>
    </row>
    <row r="33" spans="1:22">
      <c r="A33" s="142">
        <v>1.44</v>
      </c>
      <c r="B33" s="141">
        <v>1.49</v>
      </c>
      <c r="C33" s="141">
        <f t="shared" si="0"/>
        <v>1.4649999999999999</v>
      </c>
      <c r="D33" s="62" t="s">
        <v>351</v>
      </c>
      <c r="E33" s="6">
        <v>279.8</v>
      </c>
      <c r="F33" s="6">
        <v>24.8</v>
      </c>
      <c r="G33" s="6">
        <f t="shared" si="1"/>
        <v>0.91456196078431373</v>
      </c>
      <c r="H33" s="6" t="s">
        <v>370</v>
      </c>
      <c r="I33" s="9"/>
      <c r="J33" s="9"/>
      <c r="K33" s="9"/>
      <c r="L33" s="9"/>
      <c r="M33" s="9"/>
      <c r="N33" s="9"/>
      <c r="O33" s="9"/>
      <c r="P33" s="9"/>
      <c r="Q33" s="9"/>
      <c r="R33" s="9"/>
      <c r="S33" s="9"/>
      <c r="T33" s="9"/>
      <c r="U33" s="9"/>
      <c r="V33" s="9"/>
    </row>
    <row r="34" spans="1:22">
      <c r="A34" s="140">
        <v>1.49</v>
      </c>
      <c r="B34" s="140">
        <v>1.54</v>
      </c>
      <c r="C34" s="141">
        <f t="shared" si="0"/>
        <v>1.5150000000000001</v>
      </c>
      <c r="D34" s="62" t="s">
        <v>352</v>
      </c>
      <c r="E34" s="6">
        <v>268.39999999999998</v>
      </c>
      <c r="F34" s="6">
        <v>23.5</v>
      </c>
      <c r="G34" s="6">
        <f t="shared" si="1"/>
        <v>0.91348060432829736</v>
      </c>
      <c r="H34" s="6" t="s">
        <v>370</v>
      </c>
      <c r="I34" s="9"/>
      <c r="J34" s="9"/>
      <c r="K34" s="9"/>
      <c r="L34" s="9"/>
      <c r="M34" s="9"/>
      <c r="N34" s="9"/>
      <c r="O34" s="9"/>
      <c r="P34" s="9"/>
      <c r="Q34" s="9"/>
      <c r="R34" s="9"/>
      <c r="S34" s="9"/>
      <c r="T34" s="9"/>
      <c r="U34" s="9"/>
      <c r="V34" s="9"/>
    </row>
    <row r="35" spans="1:22">
      <c r="A35" s="142">
        <v>1.54</v>
      </c>
      <c r="B35" s="141">
        <v>1.59</v>
      </c>
      <c r="C35" s="141">
        <f t="shared" si="0"/>
        <v>1.5649999999999999</v>
      </c>
      <c r="D35" s="62" t="s">
        <v>353</v>
      </c>
      <c r="E35" s="6">
        <v>276.8</v>
      </c>
      <c r="F35" s="6">
        <v>24.63</v>
      </c>
      <c r="G35" s="6">
        <f t="shared" si="1"/>
        <v>0.91490978308284099</v>
      </c>
      <c r="H35" s="6" t="s">
        <v>370</v>
      </c>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H37" s="6" t="s">
        <v>371</v>
      </c>
      <c r="I37" s="9"/>
      <c r="J37" s="9"/>
      <c r="K37" s="9"/>
      <c r="L37" s="9"/>
      <c r="M37" s="9"/>
      <c r="N37" s="9"/>
      <c r="O37" s="9"/>
      <c r="P37" s="9"/>
      <c r="Q37" s="9"/>
      <c r="R37" s="9"/>
      <c r="S37" s="9"/>
      <c r="T37" s="9"/>
      <c r="U37" s="9"/>
      <c r="V37" s="9"/>
    </row>
    <row r="38" spans="1:22">
      <c r="A38" s="62"/>
      <c r="D38" s="62"/>
      <c r="H38" s="6" t="s">
        <v>372</v>
      </c>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t="s">
        <v>354</v>
      </c>
      <c r="K40" s="9"/>
      <c r="L40" s="9">
        <v>0.83350000000000002</v>
      </c>
      <c r="M40" s="9" t="s">
        <v>356</v>
      </c>
      <c r="N40" s="9"/>
      <c r="O40" s="9"/>
      <c r="P40" s="9"/>
      <c r="Q40" s="9"/>
      <c r="R40" s="9"/>
      <c r="S40" s="9"/>
      <c r="T40" s="9"/>
      <c r="U40" s="9"/>
      <c r="V40" s="9"/>
    </row>
    <row r="41" spans="1:22">
      <c r="A41" s="62"/>
      <c r="D41" s="62"/>
      <c r="I41" s="9"/>
      <c r="J41" s="9" t="s">
        <v>355</v>
      </c>
      <c r="K41" s="9"/>
      <c r="L41" s="9">
        <v>0.83550000000000002</v>
      </c>
      <c r="M41" s="9" t="s">
        <v>357</v>
      </c>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row r="45" spans="1:22">
      <c r="A45" s="6" t="s">
        <v>358</v>
      </c>
    </row>
  </sheetData>
  <phoneticPr fontId="23" type="noConversion"/>
  <dataValidations disablePrompts="1"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3"/>
      <c r="AH1" s="73"/>
      <c r="AI1" s="73"/>
      <c r="AJ1" s="73"/>
      <c r="AK1" s="73"/>
      <c r="AL1" s="73"/>
      <c r="AM1" s="73"/>
    </row>
    <row r="2" spans="1:39" ht="36" customHeight="1">
      <c r="A2" s="58" t="s">
        <v>85</v>
      </c>
      <c r="B2" s="58" t="s">
        <v>86</v>
      </c>
      <c r="C2" s="58" t="s">
        <v>107</v>
      </c>
      <c r="D2" s="58" t="s">
        <v>120</v>
      </c>
      <c r="E2" s="58" t="s">
        <v>121</v>
      </c>
      <c r="F2" s="159" t="s">
        <v>122</v>
      </c>
      <c r="G2" s="159"/>
      <c r="H2" s="159" t="s">
        <v>123</v>
      </c>
      <c r="I2" s="159"/>
      <c r="J2" s="160" t="s">
        <v>124</v>
      </c>
      <c r="K2" s="160"/>
      <c r="L2" s="159" t="s">
        <v>125</v>
      </c>
      <c r="M2" s="159"/>
      <c r="N2" s="160" t="s">
        <v>126</v>
      </c>
      <c r="O2" s="160"/>
      <c r="P2" s="162" t="s">
        <v>127</v>
      </c>
      <c r="Q2" s="162"/>
      <c r="R2" s="156" t="s">
        <v>128</v>
      </c>
      <c r="S2" s="156"/>
      <c r="T2" s="162" t="s">
        <v>129</v>
      </c>
      <c r="U2" s="162"/>
      <c r="V2" s="156" t="s">
        <v>130</v>
      </c>
      <c r="W2" s="156"/>
      <c r="X2" s="162" t="s">
        <v>131</v>
      </c>
      <c r="Y2" s="162"/>
      <c r="Z2" s="161" t="s">
        <v>132</v>
      </c>
      <c r="AA2" s="161"/>
      <c r="AB2" s="161" t="s">
        <v>133</v>
      </c>
      <c r="AC2" s="161"/>
      <c r="AD2" s="162" t="s">
        <v>134</v>
      </c>
      <c r="AE2" s="162"/>
      <c r="AF2" s="58" t="s">
        <v>95</v>
      </c>
      <c r="AG2" s="74"/>
      <c r="AH2" s="74"/>
      <c r="AI2" s="74"/>
      <c r="AJ2" s="73"/>
      <c r="AK2" s="73"/>
      <c r="AL2" s="73"/>
      <c r="AM2" s="73"/>
    </row>
    <row r="3" spans="1:39" ht="30">
      <c r="A3" s="58" t="s">
        <v>96</v>
      </c>
      <c r="B3" s="58" t="s">
        <v>96</v>
      </c>
      <c r="C3" s="58" t="s">
        <v>96</v>
      </c>
      <c r="D3" s="58" t="s">
        <v>96</v>
      </c>
      <c r="E3" s="58" t="s">
        <v>96</v>
      </c>
      <c r="F3" s="75" t="s">
        <v>135</v>
      </c>
      <c r="G3" s="76" t="s">
        <v>136</v>
      </c>
      <c r="H3" s="75" t="s">
        <v>135</v>
      </c>
      <c r="I3" s="76" t="s">
        <v>96</v>
      </c>
      <c r="J3" s="58" t="s">
        <v>97</v>
      </c>
      <c r="K3" s="13" t="s">
        <v>96</v>
      </c>
      <c r="L3" s="75" t="s">
        <v>97</v>
      </c>
      <c r="M3" s="76" t="s">
        <v>96</v>
      </c>
      <c r="N3" s="58" t="s">
        <v>97</v>
      </c>
      <c r="O3" s="13" t="s">
        <v>96</v>
      </c>
      <c r="P3" s="75" t="s">
        <v>97</v>
      </c>
      <c r="Q3" s="76" t="s">
        <v>96</v>
      </c>
      <c r="R3" s="58" t="s">
        <v>97</v>
      </c>
      <c r="S3" s="13" t="s">
        <v>96</v>
      </c>
      <c r="T3" s="75" t="s">
        <v>97</v>
      </c>
      <c r="U3" s="76" t="s">
        <v>96</v>
      </c>
      <c r="V3" s="58" t="s">
        <v>97</v>
      </c>
      <c r="W3" s="13" t="s">
        <v>96</v>
      </c>
      <c r="X3" s="75" t="s">
        <v>97</v>
      </c>
      <c r="Y3" s="77" t="s">
        <v>96</v>
      </c>
      <c r="Z3" s="58" t="s">
        <v>97</v>
      </c>
      <c r="AA3" s="13" t="s">
        <v>96</v>
      </c>
      <c r="AB3" s="75" t="s">
        <v>97</v>
      </c>
      <c r="AC3" s="13" t="s">
        <v>96</v>
      </c>
      <c r="AD3" s="75" t="s">
        <v>97</v>
      </c>
      <c r="AE3" s="76" t="s">
        <v>96</v>
      </c>
      <c r="AF3" s="58"/>
      <c r="AG3" s="74"/>
      <c r="AH3" s="74"/>
      <c r="AI3" s="74"/>
      <c r="AJ3" s="73"/>
      <c r="AK3" s="73"/>
      <c r="AL3" s="73"/>
      <c r="AM3" s="73"/>
    </row>
    <row r="4" spans="1:39">
      <c r="A4" s="60" t="s">
        <v>8</v>
      </c>
      <c r="B4" s="60" t="s">
        <v>8</v>
      </c>
      <c r="C4" s="60" t="s">
        <v>8</v>
      </c>
      <c r="D4" s="60" t="s">
        <v>137</v>
      </c>
      <c r="E4" s="60" t="s">
        <v>137</v>
      </c>
      <c r="F4" s="78" t="s">
        <v>1</v>
      </c>
      <c r="G4" s="79"/>
      <c r="H4" s="78" t="s">
        <v>1</v>
      </c>
      <c r="I4" s="79" t="s">
        <v>138</v>
      </c>
      <c r="J4" s="60" t="s">
        <v>1</v>
      </c>
      <c r="K4" s="60" t="s">
        <v>138</v>
      </c>
      <c r="L4" s="78"/>
      <c r="M4" s="79" t="s">
        <v>139</v>
      </c>
      <c r="N4" s="60" t="s">
        <v>139</v>
      </c>
      <c r="O4" s="60"/>
      <c r="P4" s="78" t="s">
        <v>139</v>
      </c>
      <c r="Q4" s="79"/>
      <c r="R4" s="60" t="s">
        <v>139</v>
      </c>
      <c r="S4" s="60"/>
      <c r="T4" s="78" t="s">
        <v>139</v>
      </c>
      <c r="U4" s="79"/>
      <c r="V4" s="60" t="s">
        <v>139</v>
      </c>
      <c r="W4" s="60"/>
      <c r="X4" s="78" t="s">
        <v>139</v>
      </c>
      <c r="Y4" s="79"/>
      <c r="Z4" s="60" t="s">
        <v>139</v>
      </c>
      <c r="AA4" s="60"/>
      <c r="AB4" s="78"/>
      <c r="AC4" s="60" t="s">
        <v>139</v>
      </c>
      <c r="AD4" s="78"/>
      <c r="AE4" s="79" t="s">
        <v>139</v>
      </c>
      <c r="AF4" s="60"/>
      <c r="AG4" s="80"/>
      <c r="AH4" s="80"/>
      <c r="AI4" s="80"/>
      <c r="AJ4" s="80"/>
      <c r="AK4" s="80"/>
      <c r="AL4" s="80"/>
      <c r="AM4" s="80"/>
    </row>
    <row r="5" spans="1:39">
      <c r="F5" s="81"/>
      <c r="G5" s="82"/>
      <c r="H5" s="81"/>
      <c r="I5" s="82"/>
      <c r="L5" s="81"/>
      <c r="M5" s="82"/>
      <c r="P5" s="81"/>
      <c r="Q5" s="82"/>
      <c r="T5" s="81"/>
      <c r="U5" s="82"/>
      <c r="X5" s="81"/>
      <c r="Y5" s="82"/>
      <c r="AB5" s="81"/>
      <c r="AD5" s="81"/>
      <c r="AE5" s="82"/>
      <c r="AG5" s="83"/>
      <c r="AH5" s="83"/>
      <c r="AI5" s="83"/>
      <c r="AJ5" s="83"/>
      <c r="AK5" s="83"/>
      <c r="AL5" s="83"/>
      <c r="AM5" s="83"/>
    </row>
    <row r="6" spans="1:39">
      <c r="F6" s="81"/>
      <c r="G6" s="82"/>
      <c r="H6" s="81"/>
      <c r="I6" s="82"/>
      <c r="L6" s="81"/>
      <c r="M6" s="82"/>
      <c r="P6" s="81"/>
      <c r="Q6" s="82"/>
      <c r="T6" s="81"/>
      <c r="U6" s="82"/>
      <c r="X6" s="81"/>
      <c r="Y6" s="82"/>
      <c r="AB6" s="81"/>
      <c r="AD6" s="81"/>
      <c r="AE6" s="82"/>
      <c r="AG6" s="83"/>
      <c r="AH6" s="83"/>
      <c r="AI6" s="83"/>
      <c r="AJ6" s="83"/>
      <c r="AK6" s="83"/>
      <c r="AL6" s="83"/>
      <c r="AM6" s="83"/>
    </row>
    <row r="7" spans="1:39">
      <c r="F7" s="81"/>
      <c r="G7" s="82"/>
      <c r="H7" s="81"/>
      <c r="I7" s="82"/>
      <c r="L7" s="81"/>
      <c r="M7" s="82"/>
      <c r="P7" s="81"/>
      <c r="Q7" s="82"/>
      <c r="T7" s="81"/>
      <c r="U7" s="82"/>
      <c r="X7" s="81"/>
      <c r="Y7" s="82"/>
      <c r="AB7" s="81"/>
      <c r="AD7" s="81"/>
      <c r="AE7" s="82"/>
      <c r="AG7" s="83"/>
      <c r="AH7" s="83"/>
      <c r="AI7" s="83"/>
      <c r="AJ7" s="83"/>
      <c r="AK7" s="83"/>
      <c r="AL7" s="83"/>
      <c r="AM7" s="83"/>
    </row>
    <row r="8" spans="1:39">
      <c r="F8" s="81"/>
      <c r="G8" s="82"/>
      <c r="H8" s="81"/>
      <c r="I8" s="82"/>
      <c r="L8" s="81"/>
      <c r="M8" s="82"/>
      <c r="P8" s="81"/>
      <c r="Q8" s="82"/>
      <c r="T8" s="81"/>
      <c r="U8" s="82"/>
      <c r="X8" s="81"/>
      <c r="Y8" s="82"/>
      <c r="AB8" s="81"/>
      <c r="AD8" s="81"/>
      <c r="AE8" s="82"/>
      <c r="AG8" s="83"/>
      <c r="AH8" s="83"/>
      <c r="AI8" s="83"/>
      <c r="AJ8" s="83"/>
      <c r="AK8" s="83"/>
      <c r="AL8" s="83"/>
      <c r="AM8" s="83"/>
    </row>
    <row r="9" spans="1:39">
      <c r="F9" s="81"/>
      <c r="G9" s="82"/>
      <c r="H9" s="81"/>
      <c r="I9" s="82"/>
      <c r="L9" s="81"/>
      <c r="M9" s="82"/>
      <c r="P9" s="81"/>
      <c r="Q9" s="82"/>
      <c r="T9" s="81"/>
      <c r="U9" s="82"/>
      <c r="X9" s="81"/>
      <c r="Y9" s="82"/>
      <c r="AB9" s="81"/>
      <c r="AD9" s="81"/>
      <c r="AE9" s="82"/>
      <c r="AG9" s="83"/>
      <c r="AH9" s="83"/>
      <c r="AI9" s="83"/>
      <c r="AJ9" s="83"/>
      <c r="AK9" s="83"/>
      <c r="AL9" s="83"/>
      <c r="AM9" s="83"/>
    </row>
    <row r="10" spans="1:39">
      <c r="F10" s="81"/>
      <c r="G10" s="82"/>
      <c r="H10" s="81"/>
      <c r="I10" s="82"/>
      <c r="L10" s="81"/>
      <c r="M10" s="82"/>
      <c r="P10" s="81"/>
      <c r="Q10" s="82"/>
      <c r="T10" s="81"/>
      <c r="U10" s="82"/>
      <c r="X10" s="81"/>
      <c r="Y10" s="82"/>
      <c r="AB10" s="81"/>
      <c r="AD10" s="81"/>
      <c r="AE10" s="82"/>
      <c r="AG10" s="83"/>
      <c r="AH10" s="83"/>
      <c r="AI10" s="83"/>
      <c r="AJ10" s="83"/>
      <c r="AK10" s="83"/>
      <c r="AL10" s="83"/>
      <c r="AM10" s="83"/>
    </row>
    <row r="11" spans="1:39">
      <c r="F11" s="81"/>
      <c r="G11" s="82"/>
      <c r="H11" s="81"/>
      <c r="I11" s="82"/>
      <c r="L11" s="81"/>
      <c r="M11" s="82"/>
      <c r="P11" s="81"/>
      <c r="Q11" s="82"/>
      <c r="T11" s="81"/>
      <c r="U11" s="82"/>
      <c r="X11" s="81"/>
      <c r="Y11" s="82"/>
      <c r="AB11" s="81"/>
      <c r="AD11" s="81"/>
      <c r="AE11" s="82"/>
      <c r="AG11" s="83"/>
      <c r="AH11" s="83"/>
      <c r="AI11" s="83"/>
      <c r="AJ11" s="83"/>
      <c r="AK11" s="83"/>
      <c r="AL11" s="83"/>
      <c r="AM11" s="83"/>
    </row>
    <row r="12" spans="1:39">
      <c r="F12" s="81"/>
      <c r="G12" s="82"/>
      <c r="H12" s="81"/>
      <c r="I12" s="82"/>
      <c r="L12" s="81"/>
      <c r="M12" s="82"/>
      <c r="P12" s="81"/>
      <c r="Q12" s="82"/>
      <c r="T12" s="81"/>
      <c r="U12" s="82"/>
      <c r="X12" s="81"/>
      <c r="Y12" s="82"/>
      <c r="AB12" s="81"/>
      <c r="AD12" s="81"/>
      <c r="AE12" s="82"/>
      <c r="AG12" s="83"/>
      <c r="AH12" s="83"/>
      <c r="AI12" s="83"/>
      <c r="AJ12" s="83"/>
      <c r="AK12" s="83"/>
      <c r="AL12" s="83"/>
      <c r="AM12" s="83"/>
    </row>
    <row r="13" spans="1:39">
      <c r="F13" s="81"/>
      <c r="G13" s="82"/>
      <c r="H13" s="81"/>
      <c r="I13" s="82"/>
      <c r="L13" s="81"/>
      <c r="M13" s="82"/>
      <c r="P13" s="81"/>
      <c r="Q13" s="82"/>
      <c r="T13" s="81"/>
      <c r="U13" s="82"/>
      <c r="X13" s="81"/>
      <c r="Y13" s="82"/>
      <c r="AB13" s="81"/>
      <c r="AD13" s="81"/>
      <c r="AE13" s="82"/>
      <c r="AG13" s="83"/>
      <c r="AH13" s="83"/>
      <c r="AI13" s="83"/>
      <c r="AJ13" s="83"/>
      <c r="AK13" s="83"/>
      <c r="AL13" s="83"/>
      <c r="AM13" s="83"/>
    </row>
    <row r="14" spans="1:39">
      <c r="F14" s="81"/>
      <c r="G14" s="82"/>
      <c r="H14" s="81"/>
      <c r="I14" s="82"/>
      <c r="L14" s="81"/>
      <c r="M14" s="82"/>
      <c r="P14" s="81"/>
      <c r="Q14" s="82"/>
      <c r="T14" s="81"/>
      <c r="U14" s="82"/>
      <c r="X14" s="81"/>
      <c r="Y14" s="82"/>
      <c r="AB14" s="81"/>
      <c r="AD14" s="81"/>
      <c r="AE14" s="82"/>
      <c r="AG14" s="83"/>
      <c r="AH14" s="83"/>
      <c r="AI14" s="83"/>
      <c r="AJ14" s="83"/>
      <c r="AK14" s="83"/>
      <c r="AL14" s="83"/>
      <c r="AM14" s="83"/>
    </row>
    <row r="15" spans="1:39">
      <c r="F15" s="81"/>
      <c r="G15" s="82"/>
      <c r="H15" s="81"/>
      <c r="I15" s="82"/>
      <c r="L15" s="81"/>
      <c r="M15" s="82"/>
      <c r="P15" s="81"/>
      <c r="Q15" s="82"/>
      <c r="T15" s="81"/>
      <c r="U15" s="82"/>
      <c r="X15" s="81"/>
      <c r="Y15" s="82"/>
      <c r="AB15" s="81"/>
      <c r="AD15" s="81"/>
      <c r="AE15" s="82"/>
      <c r="AG15" s="83"/>
      <c r="AH15" s="83"/>
      <c r="AI15" s="83"/>
      <c r="AJ15" s="83"/>
      <c r="AK15" s="83"/>
      <c r="AL15" s="83"/>
      <c r="AM15" s="83"/>
    </row>
    <row r="16" spans="1:39">
      <c r="F16" s="81"/>
      <c r="G16" s="82"/>
      <c r="H16" s="81"/>
      <c r="I16" s="82"/>
      <c r="L16" s="81"/>
      <c r="M16" s="82"/>
      <c r="P16" s="81"/>
      <c r="Q16" s="82"/>
      <c r="T16" s="81"/>
      <c r="U16" s="82"/>
      <c r="X16" s="81"/>
      <c r="Y16" s="82"/>
      <c r="AB16" s="81"/>
      <c r="AD16" s="81"/>
      <c r="AE16" s="82"/>
      <c r="AG16" s="83"/>
      <c r="AH16" s="83"/>
      <c r="AI16" s="83"/>
      <c r="AJ16" s="83"/>
      <c r="AK16" s="83"/>
      <c r="AL16" s="83"/>
      <c r="AM16" s="83"/>
    </row>
    <row r="17" spans="6:39">
      <c r="F17" s="81"/>
      <c r="G17" s="82"/>
      <c r="H17" s="81"/>
      <c r="I17" s="82"/>
      <c r="L17" s="81"/>
      <c r="M17" s="82"/>
      <c r="P17" s="81"/>
      <c r="Q17" s="82"/>
      <c r="T17" s="81"/>
      <c r="U17" s="82"/>
      <c r="X17" s="81"/>
      <c r="Y17" s="82"/>
      <c r="AB17" s="81"/>
      <c r="AD17" s="81"/>
      <c r="AE17" s="82"/>
      <c r="AG17" s="83"/>
      <c r="AH17" s="83"/>
      <c r="AI17" s="83"/>
      <c r="AJ17" s="83"/>
      <c r="AK17" s="83"/>
      <c r="AL17" s="83"/>
      <c r="AM17" s="83"/>
    </row>
    <row r="18" spans="6:39">
      <c r="F18" s="81"/>
      <c r="G18" s="82"/>
      <c r="H18" s="81"/>
      <c r="I18" s="82"/>
      <c r="L18" s="81"/>
      <c r="M18" s="82"/>
      <c r="P18" s="81"/>
      <c r="Q18" s="82"/>
      <c r="T18" s="81"/>
      <c r="U18" s="82"/>
      <c r="X18" s="81"/>
      <c r="Y18" s="82"/>
      <c r="AB18" s="81"/>
      <c r="AD18" s="81"/>
      <c r="AE18" s="82"/>
      <c r="AG18" s="83"/>
      <c r="AH18" s="83"/>
      <c r="AI18" s="83"/>
      <c r="AJ18" s="83"/>
      <c r="AK18" s="83"/>
      <c r="AL18" s="83"/>
      <c r="AM18" s="83"/>
    </row>
    <row r="19" spans="6:39">
      <c r="F19" s="81"/>
      <c r="G19" s="82"/>
      <c r="H19" s="81"/>
      <c r="I19" s="82"/>
      <c r="L19" s="81"/>
      <c r="M19" s="82"/>
      <c r="P19" s="81"/>
      <c r="Q19" s="82"/>
      <c r="T19" s="81"/>
      <c r="U19" s="82"/>
      <c r="X19" s="81"/>
      <c r="Y19" s="82"/>
      <c r="AB19" s="81"/>
      <c r="AD19" s="81"/>
      <c r="AE19" s="82"/>
      <c r="AG19" s="83"/>
      <c r="AH19" s="83"/>
      <c r="AI19" s="83"/>
      <c r="AJ19" s="83"/>
      <c r="AK19" s="83"/>
      <c r="AL19" s="83"/>
      <c r="AM19" s="83"/>
    </row>
    <row r="20" spans="6:39">
      <c r="F20" s="81"/>
      <c r="G20" s="82"/>
      <c r="H20" s="81"/>
      <c r="I20" s="82"/>
      <c r="L20" s="81"/>
      <c r="M20" s="82"/>
      <c r="P20" s="81"/>
      <c r="Q20" s="82"/>
      <c r="T20" s="81"/>
      <c r="U20" s="82"/>
      <c r="X20" s="81"/>
      <c r="Y20" s="82"/>
      <c r="AB20" s="81"/>
      <c r="AD20" s="81"/>
      <c r="AE20" s="82"/>
      <c r="AG20" s="83"/>
      <c r="AH20" s="83"/>
      <c r="AI20" s="83"/>
      <c r="AJ20" s="83"/>
      <c r="AK20" s="83"/>
      <c r="AL20" s="83"/>
      <c r="AM20" s="83"/>
    </row>
    <row r="21" spans="6:39">
      <c r="F21" s="81"/>
      <c r="G21" s="82"/>
      <c r="H21" s="81"/>
      <c r="I21" s="82"/>
      <c r="L21" s="81"/>
      <c r="M21" s="82"/>
      <c r="P21" s="81"/>
      <c r="Q21" s="82"/>
      <c r="T21" s="81"/>
      <c r="U21" s="82"/>
      <c r="X21" s="81"/>
      <c r="Y21" s="82"/>
      <c r="AB21" s="81"/>
      <c r="AD21" s="81"/>
      <c r="AE21" s="82"/>
      <c r="AG21" s="83"/>
      <c r="AH21" s="83"/>
      <c r="AI21" s="83"/>
      <c r="AJ21" s="83"/>
      <c r="AK21" s="83"/>
      <c r="AL21" s="83"/>
      <c r="AM21" s="83"/>
    </row>
    <row r="22" spans="6:39">
      <c r="F22" s="81"/>
      <c r="G22" s="82"/>
      <c r="H22" s="81"/>
      <c r="I22" s="82"/>
      <c r="L22" s="81"/>
      <c r="M22" s="82"/>
      <c r="P22" s="81"/>
      <c r="Q22" s="82"/>
      <c r="T22" s="81"/>
      <c r="U22" s="82"/>
      <c r="X22" s="81"/>
      <c r="Y22" s="82"/>
      <c r="AB22" s="81"/>
      <c r="AD22" s="81"/>
      <c r="AE22" s="82"/>
      <c r="AG22" s="83"/>
      <c r="AH22" s="83"/>
      <c r="AI22" s="83"/>
      <c r="AJ22" s="83"/>
      <c r="AK22" s="83"/>
      <c r="AL22" s="83"/>
      <c r="AM22" s="83"/>
    </row>
    <row r="23" spans="6:39">
      <c r="F23" s="81"/>
      <c r="G23" s="82"/>
      <c r="H23" s="81"/>
      <c r="I23" s="82"/>
      <c r="L23" s="81"/>
      <c r="M23" s="82"/>
      <c r="P23" s="81"/>
      <c r="Q23" s="82"/>
      <c r="T23" s="81"/>
      <c r="U23" s="82"/>
      <c r="X23" s="81"/>
      <c r="Y23" s="82"/>
      <c r="AB23" s="81"/>
      <c r="AD23" s="81"/>
      <c r="AE23" s="82"/>
      <c r="AG23" s="83"/>
      <c r="AH23" s="83"/>
      <c r="AI23" s="83"/>
      <c r="AJ23" s="83"/>
      <c r="AK23" s="83"/>
      <c r="AL23" s="83"/>
      <c r="AM23" s="83"/>
    </row>
    <row r="24" spans="6:39">
      <c r="F24" s="81"/>
      <c r="G24" s="82"/>
      <c r="H24" s="81"/>
      <c r="I24" s="82"/>
      <c r="L24" s="81"/>
      <c r="M24" s="82"/>
      <c r="P24" s="81"/>
      <c r="Q24" s="82"/>
      <c r="T24" s="81"/>
      <c r="U24" s="82"/>
      <c r="X24" s="81"/>
      <c r="Y24" s="82"/>
      <c r="AB24" s="81"/>
      <c r="AD24" s="81"/>
      <c r="AE24" s="82"/>
      <c r="AG24" s="83"/>
      <c r="AH24" s="83"/>
      <c r="AI24" s="83"/>
      <c r="AJ24" s="83"/>
      <c r="AK24" s="83"/>
      <c r="AL24" s="83"/>
      <c r="AM24" s="83"/>
    </row>
    <row r="25" spans="6:39">
      <c r="F25" s="81"/>
      <c r="G25" s="82"/>
      <c r="H25" s="81"/>
      <c r="I25" s="82"/>
      <c r="L25" s="81"/>
      <c r="M25" s="82"/>
      <c r="P25" s="81"/>
      <c r="Q25" s="82"/>
      <c r="T25" s="81"/>
      <c r="U25" s="82"/>
      <c r="X25" s="81"/>
      <c r="Y25" s="82"/>
      <c r="AB25" s="81"/>
      <c r="AD25" s="81"/>
      <c r="AE25" s="82"/>
      <c r="AG25" s="83"/>
      <c r="AH25" s="83"/>
      <c r="AI25" s="83"/>
      <c r="AJ25" s="83"/>
      <c r="AK25" s="83"/>
      <c r="AL25" s="83"/>
      <c r="AM25" s="83"/>
    </row>
    <row r="26" spans="6:39">
      <c r="F26" s="81"/>
      <c r="G26" s="82"/>
      <c r="H26" s="81"/>
      <c r="I26" s="82"/>
      <c r="L26" s="81"/>
      <c r="M26" s="82"/>
      <c r="P26" s="81"/>
      <c r="Q26" s="82"/>
      <c r="T26" s="81"/>
      <c r="U26" s="82"/>
      <c r="X26" s="81"/>
      <c r="Y26" s="82"/>
      <c r="AB26" s="81"/>
      <c r="AD26" s="81"/>
      <c r="AE26" s="82"/>
      <c r="AG26" s="83"/>
      <c r="AH26" s="83"/>
      <c r="AI26" s="83"/>
      <c r="AJ26" s="83"/>
      <c r="AK26" s="83"/>
      <c r="AL26" s="83"/>
      <c r="AM26" s="83"/>
    </row>
    <row r="27" spans="6:39">
      <c r="F27" s="81"/>
      <c r="G27" s="82"/>
      <c r="H27" s="81"/>
      <c r="I27" s="82"/>
      <c r="L27" s="81"/>
      <c r="M27" s="82"/>
      <c r="P27" s="81"/>
      <c r="Q27" s="82"/>
      <c r="T27" s="81"/>
      <c r="U27" s="82"/>
      <c r="X27" s="81"/>
      <c r="Y27" s="82"/>
      <c r="AB27" s="81"/>
      <c r="AD27" s="81"/>
      <c r="AE27" s="82"/>
      <c r="AG27" s="83"/>
      <c r="AH27" s="83"/>
      <c r="AI27" s="83"/>
      <c r="AJ27" s="83"/>
      <c r="AK27" s="83"/>
      <c r="AL27" s="83"/>
      <c r="AM27" s="83"/>
    </row>
    <row r="28" spans="6:39">
      <c r="F28" s="81"/>
      <c r="G28" s="82"/>
      <c r="H28" s="81"/>
      <c r="I28" s="82"/>
      <c r="L28" s="81"/>
      <c r="M28" s="82"/>
      <c r="P28" s="81"/>
      <c r="Q28" s="82"/>
      <c r="T28" s="81"/>
      <c r="U28" s="82"/>
      <c r="X28" s="81"/>
      <c r="Y28" s="82"/>
      <c r="AB28" s="81"/>
      <c r="AD28" s="81"/>
      <c r="AE28" s="82"/>
      <c r="AG28" s="83"/>
      <c r="AH28" s="83"/>
      <c r="AI28" s="83"/>
      <c r="AJ28" s="83"/>
      <c r="AK28" s="83"/>
      <c r="AL28" s="83"/>
      <c r="AM28" s="83"/>
    </row>
    <row r="29" spans="6:39">
      <c r="F29" s="81"/>
      <c r="G29" s="82"/>
      <c r="H29" s="81"/>
      <c r="I29" s="82"/>
      <c r="L29" s="81"/>
      <c r="M29" s="82"/>
      <c r="P29" s="81"/>
      <c r="Q29" s="82"/>
      <c r="T29" s="81"/>
      <c r="U29" s="82"/>
      <c r="X29" s="81"/>
      <c r="Y29" s="82"/>
      <c r="AB29" s="81"/>
      <c r="AD29" s="81"/>
      <c r="AE29" s="82"/>
      <c r="AG29" s="83"/>
      <c r="AH29" s="83"/>
      <c r="AI29" s="83"/>
      <c r="AJ29" s="83"/>
      <c r="AK29" s="83"/>
      <c r="AL29" s="83"/>
      <c r="AM29" s="83"/>
    </row>
    <row r="30" spans="6:39">
      <c r="F30" s="81"/>
      <c r="G30" s="82"/>
      <c r="H30" s="81"/>
      <c r="I30" s="82"/>
      <c r="L30" s="81"/>
      <c r="M30" s="82"/>
      <c r="P30" s="81"/>
      <c r="Q30" s="82"/>
      <c r="T30" s="81"/>
      <c r="U30" s="82"/>
      <c r="X30" s="81"/>
      <c r="Y30" s="82"/>
      <c r="AB30" s="81"/>
      <c r="AD30" s="81"/>
      <c r="AE30" s="82"/>
      <c r="AG30" s="83"/>
      <c r="AH30" s="83"/>
      <c r="AI30" s="83"/>
      <c r="AJ30" s="83"/>
      <c r="AK30" s="83"/>
      <c r="AL30" s="83"/>
      <c r="AM30" s="83"/>
    </row>
    <row r="31" spans="6:39">
      <c r="F31" s="81"/>
      <c r="G31" s="82"/>
      <c r="H31" s="81"/>
      <c r="I31" s="82"/>
      <c r="L31" s="81"/>
      <c r="M31" s="82"/>
      <c r="P31" s="81"/>
      <c r="Q31" s="82"/>
      <c r="T31" s="81"/>
      <c r="U31" s="82"/>
      <c r="X31" s="81"/>
      <c r="Y31" s="82"/>
      <c r="AB31" s="81"/>
      <c r="AD31" s="81"/>
      <c r="AE31" s="82"/>
      <c r="AG31" s="83"/>
      <c r="AH31" s="83"/>
      <c r="AI31" s="83"/>
      <c r="AJ31" s="83"/>
      <c r="AK31" s="83"/>
      <c r="AL31" s="83"/>
      <c r="AM31" s="83"/>
    </row>
    <row r="32" spans="6:39">
      <c r="F32" s="81"/>
      <c r="G32" s="82"/>
      <c r="H32" s="81"/>
      <c r="I32" s="82"/>
      <c r="L32" s="81"/>
      <c r="M32" s="82"/>
      <c r="P32" s="81"/>
      <c r="Q32" s="82"/>
      <c r="T32" s="81"/>
      <c r="U32" s="82"/>
      <c r="X32" s="81"/>
      <c r="Y32" s="82"/>
      <c r="AB32" s="81"/>
      <c r="AD32" s="81"/>
      <c r="AE32" s="82"/>
      <c r="AG32" s="83"/>
      <c r="AH32" s="83"/>
      <c r="AI32" s="83"/>
      <c r="AJ32" s="83"/>
      <c r="AK32" s="83"/>
      <c r="AL32" s="83"/>
      <c r="AM32" s="83"/>
    </row>
    <row r="33" spans="1:39">
      <c r="F33" s="81"/>
      <c r="G33" s="82"/>
      <c r="H33" s="81"/>
      <c r="I33" s="82"/>
      <c r="L33" s="81"/>
      <c r="M33" s="82"/>
      <c r="P33" s="81"/>
      <c r="Q33" s="82"/>
      <c r="T33" s="81"/>
      <c r="U33" s="82"/>
      <c r="X33" s="81"/>
      <c r="Y33" s="82"/>
      <c r="AB33" s="81"/>
      <c r="AD33" s="81"/>
      <c r="AE33" s="82"/>
      <c r="AG33" s="83"/>
      <c r="AH33" s="83"/>
      <c r="AI33" s="83"/>
      <c r="AJ33" s="83"/>
      <c r="AK33" s="83"/>
      <c r="AL33" s="83"/>
      <c r="AM33" s="83"/>
    </row>
    <row r="34" spans="1:39">
      <c r="F34" s="81"/>
      <c r="G34" s="82"/>
      <c r="H34" s="81"/>
      <c r="I34" s="82"/>
      <c r="L34" s="81"/>
      <c r="M34" s="82"/>
      <c r="P34" s="81"/>
      <c r="Q34" s="82"/>
      <c r="T34" s="81"/>
      <c r="U34" s="82"/>
      <c r="X34" s="81"/>
      <c r="Y34" s="82"/>
      <c r="AB34" s="81"/>
      <c r="AD34" s="81"/>
      <c r="AE34" s="82"/>
      <c r="AG34" s="83"/>
      <c r="AH34" s="83"/>
      <c r="AI34" s="83"/>
      <c r="AJ34" s="83"/>
      <c r="AK34" s="83"/>
      <c r="AL34" s="83"/>
      <c r="AM34" s="83"/>
    </row>
    <row r="35" spans="1:39">
      <c r="F35" s="81"/>
      <c r="G35" s="82"/>
      <c r="H35" s="81"/>
      <c r="I35" s="82"/>
      <c r="L35" s="81"/>
      <c r="M35" s="82"/>
      <c r="P35" s="81"/>
      <c r="Q35" s="82"/>
      <c r="T35" s="81"/>
      <c r="U35" s="82"/>
      <c r="X35" s="81"/>
      <c r="Y35" s="82"/>
      <c r="AB35" s="81"/>
      <c r="AD35" s="81"/>
      <c r="AE35" s="82"/>
      <c r="AG35" s="83"/>
      <c r="AH35" s="83"/>
      <c r="AI35" s="83"/>
      <c r="AJ35" s="83"/>
      <c r="AK35" s="83"/>
      <c r="AL35" s="83"/>
      <c r="AM35" s="83"/>
    </row>
    <row r="36" spans="1:39">
      <c r="F36" s="81"/>
      <c r="G36" s="82"/>
      <c r="H36" s="81"/>
      <c r="I36" s="82"/>
      <c r="L36" s="81"/>
      <c r="M36" s="82"/>
      <c r="P36" s="81"/>
      <c r="Q36" s="82"/>
      <c r="T36" s="81"/>
      <c r="U36" s="82"/>
      <c r="X36" s="81"/>
      <c r="Y36" s="82"/>
      <c r="AB36" s="81"/>
      <c r="AD36" s="81"/>
      <c r="AE36" s="82"/>
      <c r="AG36" s="83"/>
      <c r="AH36" s="83"/>
      <c r="AI36" s="83"/>
      <c r="AJ36" s="83"/>
      <c r="AK36" s="83"/>
      <c r="AL36" s="83"/>
      <c r="AM36" s="83"/>
    </row>
    <row r="37" spans="1:39">
      <c r="F37" s="81"/>
      <c r="G37" s="82"/>
      <c r="H37" s="81"/>
      <c r="I37" s="82"/>
      <c r="L37" s="81"/>
      <c r="M37" s="82"/>
      <c r="P37" s="81"/>
      <c r="Q37" s="82"/>
      <c r="T37" s="81"/>
      <c r="U37" s="82"/>
      <c r="X37" s="81"/>
      <c r="Y37" s="82"/>
      <c r="AB37" s="81"/>
      <c r="AD37" s="81"/>
      <c r="AE37" s="82"/>
      <c r="AG37" s="83"/>
      <c r="AH37" s="83"/>
      <c r="AI37" s="83"/>
      <c r="AJ37" s="83"/>
      <c r="AK37" s="83"/>
      <c r="AL37" s="83"/>
      <c r="AM37" s="83"/>
    </row>
    <row r="38" spans="1:39">
      <c r="F38" s="81"/>
      <c r="G38" s="82"/>
      <c r="H38" s="81"/>
      <c r="I38" s="82"/>
      <c r="L38" s="81"/>
      <c r="M38" s="82"/>
      <c r="P38" s="81"/>
      <c r="Q38" s="82"/>
      <c r="T38" s="81"/>
      <c r="U38" s="82"/>
      <c r="X38" s="81"/>
      <c r="Y38" s="82"/>
      <c r="AB38" s="81"/>
      <c r="AD38" s="81"/>
      <c r="AE38" s="82"/>
      <c r="AG38" s="83"/>
      <c r="AH38" s="83"/>
      <c r="AI38" s="83"/>
      <c r="AJ38" s="83"/>
      <c r="AK38" s="83"/>
      <c r="AL38" s="83"/>
      <c r="AM38" s="83"/>
    </row>
    <row r="39" spans="1:39">
      <c r="F39" s="81"/>
      <c r="G39" s="82"/>
      <c r="H39" s="81"/>
      <c r="I39" s="82"/>
      <c r="L39" s="81"/>
      <c r="M39" s="82"/>
      <c r="P39" s="81"/>
      <c r="Q39" s="82"/>
      <c r="T39" s="81"/>
      <c r="U39" s="82"/>
      <c r="X39" s="81"/>
      <c r="Y39" s="82"/>
      <c r="AB39" s="81"/>
      <c r="AD39" s="81"/>
      <c r="AE39" s="82"/>
      <c r="AG39" s="83"/>
      <c r="AH39" s="83"/>
      <c r="AI39" s="83"/>
      <c r="AJ39" s="83"/>
      <c r="AK39" s="83"/>
      <c r="AL39" s="83"/>
      <c r="AM39" s="83"/>
    </row>
    <row r="40" spans="1:39">
      <c r="F40" s="81"/>
      <c r="G40" s="82"/>
      <c r="H40" s="81"/>
      <c r="I40" s="82"/>
      <c r="L40" s="81"/>
      <c r="M40" s="82"/>
      <c r="P40" s="81"/>
      <c r="Q40" s="82"/>
      <c r="T40" s="81"/>
      <c r="U40" s="82"/>
      <c r="X40" s="81"/>
      <c r="Y40" s="82"/>
      <c r="AB40" s="81"/>
      <c r="AD40" s="81"/>
      <c r="AE40" s="82"/>
      <c r="AG40" s="83"/>
      <c r="AH40" s="83"/>
      <c r="AI40" s="83"/>
      <c r="AJ40" s="83"/>
      <c r="AK40" s="83"/>
      <c r="AL40" s="83"/>
      <c r="AM40" s="83"/>
    </row>
    <row r="41" spans="1:39">
      <c r="F41" s="81"/>
      <c r="G41" s="82"/>
      <c r="H41" s="81"/>
      <c r="I41" s="82"/>
      <c r="L41" s="81"/>
      <c r="M41" s="82"/>
      <c r="P41" s="81"/>
      <c r="Q41" s="82"/>
      <c r="T41" s="81"/>
      <c r="U41" s="82"/>
      <c r="X41" s="81"/>
      <c r="Y41" s="82"/>
      <c r="AB41" s="81"/>
      <c r="AD41" s="81"/>
      <c r="AE41" s="82"/>
      <c r="AG41" s="83"/>
      <c r="AH41" s="83"/>
      <c r="AI41" s="83"/>
      <c r="AJ41" s="83"/>
      <c r="AK41" s="83"/>
      <c r="AL41" s="83"/>
      <c r="AM41" s="83"/>
    </row>
    <row r="42" spans="1:39">
      <c r="F42" s="81"/>
      <c r="G42" s="82"/>
      <c r="H42" s="81"/>
      <c r="I42" s="82"/>
      <c r="L42" s="81"/>
      <c r="M42" s="82"/>
      <c r="P42" s="81"/>
      <c r="Q42" s="82"/>
      <c r="T42" s="81"/>
      <c r="U42" s="82"/>
      <c r="X42" s="81"/>
      <c r="Y42" s="82"/>
      <c r="AB42" s="81"/>
      <c r="AD42" s="81"/>
      <c r="AE42" s="82"/>
      <c r="AG42" s="83"/>
      <c r="AH42" s="83"/>
      <c r="AI42" s="83"/>
      <c r="AJ42" s="83"/>
      <c r="AK42" s="83"/>
      <c r="AL42" s="83"/>
      <c r="AM42" s="83"/>
    </row>
    <row r="43" spans="1:39">
      <c r="A43" s="62"/>
      <c r="D43" s="62"/>
      <c r="F43" s="81"/>
      <c r="G43" s="82"/>
      <c r="H43" s="81"/>
      <c r="I43" s="82"/>
      <c r="L43" s="81"/>
      <c r="M43" s="82"/>
      <c r="P43" s="81"/>
      <c r="Q43" s="82"/>
      <c r="T43" s="81"/>
      <c r="U43" s="82"/>
      <c r="X43" s="81"/>
      <c r="Y43" s="82"/>
      <c r="AB43" s="81"/>
      <c r="AD43" s="81"/>
      <c r="AE43" s="82"/>
      <c r="AG43" s="83"/>
      <c r="AH43" s="83"/>
      <c r="AI43" s="83"/>
      <c r="AJ43" s="83"/>
      <c r="AK43" s="83"/>
      <c r="AL43" s="83"/>
      <c r="AM43" s="83"/>
    </row>
    <row r="44" spans="1:39">
      <c r="F44" s="81"/>
      <c r="G44" s="82"/>
      <c r="H44" s="81"/>
      <c r="I44" s="82"/>
      <c r="L44" s="81"/>
      <c r="M44" s="82"/>
      <c r="P44" s="81"/>
      <c r="Q44" s="82"/>
      <c r="T44" s="81"/>
      <c r="U44" s="82"/>
      <c r="X44" s="81"/>
      <c r="Y44" s="82"/>
      <c r="AB44" s="81"/>
      <c r="AD44" s="81"/>
      <c r="AE44" s="82"/>
      <c r="AG44" s="83"/>
      <c r="AH44" s="83"/>
      <c r="AI44" s="83"/>
      <c r="AJ44" s="83"/>
      <c r="AK44" s="83"/>
      <c r="AL44" s="83"/>
      <c r="AM44" s="83"/>
    </row>
    <row r="45" spans="1:39">
      <c r="F45" s="81"/>
      <c r="G45" s="82"/>
      <c r="H45" s="81"/>
      <c r="I45" s="82"/>
      <c r="L45" s="81"/>
      <c r="M45" s="82"/>
      <c r="P45" s="81"/>
      <c r="Q45" s="82"/>
      <c r="T45" s="81"/>
      <c r="U45" s="82"/>
      <c r="X45" s="81"/>
      <c r="Y45" s="82"/>
      <c r="AB45" s="81"/>
      <c r="AD45" s="81"/>
      <c r="AE45" s="82"/>
      <c r="AG45" s="83"/>
      <c r="AH45" s="83"/>
      <c r="AI45" s="83"/>
      <c r="AJ45" s="83"/>
      <c r="AK45" s="83"/>
      <c r="AL45" s="83"/>
      <c r="AM45" s="83"/>
    </row>
    <row r="46" spans="1:39">
      <c r="F46" s="81"/>
      <c r="G46" s="82"/>
      <c r="H46" s="81"/>
      <c r="I46" s="82"/>
      <c r="L46" s="81"/>
      <c r="M46" s="82"/>
      <c r="P46" s="81"/>
      <c r="Q46" s="82"/>
      <c r="T46" s="81"/>
      <c r="U46" s="82"/>
      <c r="X46" s="81"/>
      <c r="Y46" s="82"/>
      <c r="AB46" s="81"/>
      <c r="AD46" s="81"/>
      <c r="AE46" s="82"/>
      <c r="AG46" s="83"/>
      <c r="AH46" s="83"/>
      <c r="AI46" s="83"/>
      <c r="AJ46" s="83"/>
      <c r="AK46" s="83"/>
      <c r="AL46" s="83"/>
      <c r="AM46" s="83"/>
    </row>
    <row r="47" spans="1:39">
      <c r="F47" s="81"/>
      <c r="G47" s="82"/>
      <c r="H47" s="81"/>
      <c r="I47" s="82"/>
      <c r="L47" s="81"/>
      <c r="M47" s="82"/>
      <c r="P47" s="81"/>
      <c r="Q47" s="82"/>
      <c r="T47" s="81"/>
      <c r="U47" s="82"/>
      <c r="X47" s="81"/>
      <c r="Y47" s="82"/>
      <c r="AB47" s="81"/>
      <c r="AD47" s="81"/>
      <c r="AE47" s="82"/>
      <c r="AG47" s="83"/>
      <c r="AH47" s="83"/>
      <c r="AI47" s="83"/>
      <c r="AJ47" s="83"/>
      <c r="AK47" s="83"/>
      <c r="AL47" s="83"/>
      <c r="AM47" s="83"/>
    </row>
    <row r="48" spans="1:39">
      <c r="F48" s="81"/>
      <c r="G48" s="82"/>
      <c r="H48" s="81"/>
      <c r="I48" s="82"/>
      <c r="L48" s="81"/>
      <c r="M48" s="82"/>
      <c r="P48" s="81"/>
      <c r="Q48" s="82"/>
      <c r="T48" s="81"/>
      <c r="U48" s="82"/>
      <c r="X48" s="81"/>
      <c r="Y48" s="82"/>
      <c r="AB48" s="81"/>
      <c r="AD48" s="81"/>
      <c r="AE48" s="82"/>
      <c r="AG48" s="83"/>
      <c r="AH48" s="83"/>
      <c r="AI48" s="83"/>
      <c r="AJ48" s="83"/>
      <c r="AK48" s="83"/>
      <c r="AL48" s="83"/>
      <c r="AM48" s="83"/>
    </row>
    <row r="49" spans="1:39">
      <c r="A49" s="62"/>
      <c r="D49" s="62"/>
      <c r="F49" s="81"/>
      <c r="G49" s="82"/>
      <c r="H49" s="81"/>
      <c r="I49" s="82"/>
      <c r="L49" s="81"/>
      <c r="M49" s="82"/>
      <c r="P49" s="81"/>
      <c r="Q49" s="82"/>
      <c r="T49" s="81"/>
      <c r="U49" s="82"/>
      <c r="X49" s="81"/>
      <c r="Y49" s="82"/>
      <c r="AB49" s="81"/>
      <c r="AD49" s="81"/>
      <c r="AE49" s="82"/>
      <c r="AG49" s="83"/>
      <c r="AH49" s="83"/>
      <c r="AI49" s="83"/>
      <c r="AJ49" s="83"/>
      <c r="AK49" s="83"/>
      <c r="AL49" s="83"/>
      <c r="AM49" s="83"/>
    </row>
    <row r="50" spans="1:39">
      <c r="F50" s="81"/>
      <c r="G50" s="82"/>
      <c r="H50" s="81"/>
      <c r="I50" s="82"/>
      <c r="L50" s="81"/>
      <c r="M50" s="82"/>
      <c r="P50" s="81"/>
      <c r="Q50" s="82"/>
      <c r="T50" s="81"/>
      <c r="U50" s="82"/>
      <c r="X50" s="81"/>
      <c r="Y50" s="82"/>
      <c r="AB50" s="81"/>
      <c r="AD50" s="81"/>
      <c r="AE50" s="82"/>
      <c r="AG50" s="83"/>
      <c r="AH50" s="83"/>
      <c r="AI50" s="83"/>
      <c r="AJ50" s="83"/>
      <c r="AK50" s="83"/>
      <c r="AL50" s="83"/>
      <c r="AM50" s="83"/>
    </row>
    <row r="51" spans="1:39">
      <c r="F51" s="81"/>
      <c r="G51" s="82"/>
      <c r="H51" s="81"/>
      <c r="I51" s="82"/>
      <c r="L51" s="81"/>
      <c r="M51" s="82"/>
      <c r="P51" s="81"/>
      <c r="Q51" s="82"/>
      <c r="T51" s="81"/>
      <c r="U51" s="82"/>
      <c r="X51" s="81"/>
      <c r="Y51" s="82"/>
      <c r="AB51" s="81"/>
      <c r="AD51" s="81"/>
      <c r="AE51" s="82"/>
      <c r="AG51" s="83"/>
      <c r="AH51" s="83"/>
      <c r="AI51" s="83"/>
      <c r="AJ51" s="83"/>
      <c r="AK51" s="83"/>
      <c r="AL51" s="83"/>
      <c r="AM51" s="83"/>
    </row>
    <row r="52" spans="1:39">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row>
  </sheetData>
  <mergeCells count="13">
    <mergeCell ref="Z2:AA2"/>
    <mergeCell ref="AB2:AC2"/>
    <mergeCell ref="AD2:AE2"/>
    <mergeCell ref="P2:Q2"/>
    <mergeCell ref="R2:S2"/>
    <mergeCell ref="T2:U2"/>
    <mergeCell ref="V2:W2"/>
    <mergeCell ref="X2:Y2"/>
    <mergeCell ref="F2:G2"/>
    <mergeCell ref="H2:I2"/>
    <mergeCell ref="J2:K2"/>
    <mergeCell ref="L2:M2"/>
    <mergeCell ref="N2:O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4" customWidth="1"/>
    <col min="3" max="13" width="12.28515625" style="6" customWidth="1"/>
    <col min="14" max="1023" width="9.140625" style="6"/>
  </cols>
  <sheetData>
    <row r="1" spans="1:26" ht="15">
      <c r="A1" s="13" t="s">
        <v>80</v>
      </c>
      <c r="B1" s="57" t="s">
        <v>81</v>
      </c>
      <c r="C1" s="6" t="s">
        <v>82</v>
      </c>
      <c r="E1" s="57" t="s">
        <v>83</v>
      </c>
      <c r="F1" s="6" t="s">
        <v>84</v>
      </c>
      <c r="G1" s="14"/>
      <c r="H1" s="14"/>
      <c r="I1" s="14"/>
      <c r="J1" s="14"/>
      <c r="K1" s="14"/>
      <c r="L1" s="14"/>
      <c r="M1" s="14"/>
      <c r="N1" s="85"/>
      <c r="O1" s="85"/>
      <c r="P1" s="83"/>
      <c r="Q1" s="83"/>
      <c r="R1" s="83"/>
      <c r="S1" s="83"/>
      <c r="T1" s="83"/>
      <c r="U1" s="83"/>
      <c r="V1" s="83"/>
      <c r="W1" s="83"/>
      <c r="X1" s="83"/>
      <c r="Y1" s="83"/>
      <c r="Z1" s="83"/>
    </row>
    <row r="2" spans="1:26" ht="45">
      <c r="A2" s="58" t="s">
        <v>85</v>
      </c>
      <c r="B2" s="58" t="s">
        <v>86</v>
      </c>
      <c r="C2" s="58" t="s">
        <v>87</v>
      </c>
      <c r="D2" s="58" t="s">
        <v>88</v>
      </c>
      <c r="E2" s="58" t="s">
        <v>89</v>
      </c>
      <c r="F2" s="58" t="s">
        <v>90</v>
      </c>
      <c r="G2" s="58" t="s">
        <v>90</v>
      </c>
      <c r="H2" s="58" t="s">
        <v>91</v>
      </c>
      <c r="I2" s="1" t="s">
        <v>92</v>
      </c>
      <c r="J2" s="1" t="s">
        <v>92</v>
      </c>
      <c r="K2" s="1" t="s">
        <v>93</v>
      </c>
      <c r="L2" s="1" t="s">
        <v>93</v>
      </c>
      <c r="M2" s="58" t="s">
        <v>95</v>
      </c>
      <c r="N2" s="85"/>
      <c r="O2" s="85"/>
      <c r="P2" s="85"/>
      <c r="Q2" s="85"/>
      <c r="R2" s="85"/>
      <c r="S2" s="85"/>
      <c r="T2" s="85"/>
      <c r="U2" s="85"/>
      <c r="V2" s="85"/>
      <c r="W2" s="85"/>
      <c r="X2" s="85"/>
      <c r="Y2" s="85"/>
      <c r="Z2" s="85"/>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5"/>
      <c r="O3" s="85"/>
      <c r="P3" s="85"/>
      <c r="Q3" s="85"/>
      <c r="R3" s="85"/>
      <c r="S3" s="85"/>
      <c r="T3" s="85"/>
      <c r="U3" s="85"/>
      <c r="V3" s="85"/>
      <c r="W3" s="85"/>
      <c r="X3" s="85"/>
      <c r="Y3" s="85"/>
      <c r="Z3" s="85"/>
    </row>
    <row r="4" spans="1:26">
      <c r="A4" s="60" t="s">
        <v>8</v>
      </c>
      <c r="B4" s="60" t="s">
        <v>8</v>
      </c>
      <c r="C4" s="60" t="s">
        <v>8</v>
      </c>
      <c r="D4" s="60" t="s">
        <v>1</v>
      </c>
      <c r="E4" s="60" t="s">
        <v>99</v>
      </c>
      <c r="F4" s="61" t="s">
        <v>100</v>
      </c>
      <c r="G4" s="60" t="s">
        <v>101</v>
      </c>
      <c r="H4" s="61" t="s">
        <v>100</v>
      </c>
      <c r="I4" s="60" t="s">
        <v>1</v>
      </c>
      <c r="J4" s="60" t="s">
        <v>99</v>
      </c>
      <c r="K4" s="60" t="s">
        <v>1</v>
      </c>
      <c r="L4" s="60" t="s">
        <v>99</v>
      </c>
      <c r="M4" s="61" t="s">
        <v>1</v>
      </c>
      <c r="N4" s="85"/>
      <c r="O4" s="85"/>
      <c r="P4" s="85"/>
      <c r="Q4" s="85"/>
      <c r="R4" s="85"/>
      <c r="S4" s="85"/>
      <c r="T4" s="85"/>
      <c r="U4" s="85"/>
      <c r="V4" s="85"/>
      <c r="W4" s="85"/>
      <c r="X4" s="85"/>
      <c r="Y4" s="85"/>
      <c r="Z4" s="85"/>
    </row>
    <row r="5" spans="1:26">
      <c r="A5" s="62"/>
      <c r="C5" s="84"/>
      <c r="D5" s="84"/>
      <c r="E5" s="62"/>
      <c r="F5" s="62"/>
      <c r="G5" s="84"/>
      <c r="H5" s="84"/>
      <c r="I5" s="84"/>
      <c r="J5" s="84"/>
      <c r="K5" s="84"/>
      <c r="L5" s="84"/>
      <c r="M5" s="84"/>
      <c r="N5" s="85"/>
      <c r="O5" s="85"/>
      <c r="P5" s="85"/>
      <c r="Q5" s="85"/>
      <c r="R5" s="85"/>
      <c r="S5" s="85"/>
      <c r="T5" s="85"/>
      <c r="U5" s="85"/>
      <c r="V5" s="85"/>
      <c r="W5" s="85"/>
      <c r="X5" s="85"/>
      <c r="Y5" s="85"/>
      <c r="Z5" s="85"/>
    </row>
    <row r="6" spans="1:26">
      <c r="A6" s="62"/>
      <c r="C6" s="84"/>
      <c r="D6" s="84"/>
      <c r="E6" s="62"/>
      <c r="F6" s="62"/>
      <c r="G6" s="84"/>
      <c r="H6" s="84"/>
      <c r="I6" s="84"/>
      <c r="J6" s="84"/>
      <c r="K6" s="84"/>
      <c r="L6" s="84"/>
      <c r="M6" s="84"/>
      <c r="N6" s="85"/>
      <c r="O6" s="85"/>
      <c r="P6" s="85"/>
      <c r="Q6" s="85"/>
      <c r="R6" s="85"/>
      <c r="S6" s="85"/>
      <c r="T6" s="85"/>
      <c r="U6" s="85"/>
      <c r="V6" s="85"/>
      <c r="W6" s="85"/>
      <c r="X6" s="85"/>
      <c r="Y6" s="85"/>
      <c r="Z6" s="85"/>
    </row>
    <row r="7" spans="1:26">
      <c r="A7" s="62"/>
      <c r="C7" s="84"/>
      <c r="D7" s="84"/>
      <c r="E7" s="62"/>
      <c r="F7" s="62"/>
      <c r="G7" s="84"/>
      <c r="H7" s="84"/>
      <c r="I7" s="84"/>
      <c r="J7" s="84"/>
      <c r="K7" s="84"/>
      <c r="L7" s="84"/>
      <c r="M7" s="84"/>
      <c r="N7" s="85"/>
      <c r="O7" s="85"/>
      <c r="P7" s="85"/>
      <c r="Q7" s="85"/>
      <c r="R7" s="85"/>
      <c r="S7" s="85"/>
      <c r="T7" s="85"/>
      <c r="U7" s="85"/>
      <c r="V7" s="85"/>
      <c r="W7" s="85"/>
      <c r="X7" s="85"/>
      <c r="Y7" s="85"/>
      <c r="Z7" s="85"/>
    </row>
    <row r="8" spans="1:26">
      <c r="A8" s="62"/>
      <c r="C8" s="84"/>
      <c r="D8" s="84"/>
      <c r="M8" s="84"/>
      <c r="N8" s="85"/>
      <c r="O8" s="85"/>
      <c r="P8" s="85"/>
      <c r="Q8" s="85"/>
      <c r="R8" s="85"/>
      <c r="S8" s="85"/>
      <c r="T8" s="85"/>
      <c r="U8" s="85"/>
      <c r="V8" s="85"/>
      <c r="W8" s="85"/>
      <c r="X8" s="85"/>
      <c r="Y8" s="85"/>
      <c r="Z8" s="85"/>
    </row>
    <row r="9" spans="1:26">
      <c r="A9" s="62"/>
      <c r="C9" s="84"/>
      <c r="D9" s="84"/>
      <c r="M9" s="84"/>
      <c r="N9" s="85"/>
      <c r="O9" s="85"/>
      <c r="P9" s="85"/>
      <c r="Q9" s="85"/>
      <c r="R9" s="85"/>
      <c r="S9" s="85"/>
      <c r="T9" s="85"/>
      <c r="U9" s="85"/>
      <c r="V9" s="85"/>
      <c r="W9" s="85"/>
      <c r="X9" s="85"/>
      <c r="Y9" s="85"/>
      <c r="Z9" s="85"/>
    </row>
    <row r="10" spans="1:26">
      <c r="A10" s="62"/>
      <c r="C10" s="84"/>
      <c r="D10" s="84"/>
      <c r="M10" s="84"/>
      <c r="N10" s="85"/>
      <c r="O10" s="85"/>
      <c r="P10" s="85"/>
      <c r="Q10" s="85"/>
      <c r="R10" s="85"/>
      <c r="S10" s="85"/>
      <c r="T10" s="85"/>
      <c r="U10" s="85"/>
      <c r="V10" s="85"/>
      <c r="W10" s="85"/>
      <c r="X10" s="85"/>
      <c r="Y10" s="85"/>
      <c r="Z10" s="85"/>
    </row>
    <row r="11" spans="1:26">
      <c r="A11" s="62"/>
      <c r="C11" s="84"/>
      <c r="D11" s="84"/>
      <c r="E11" s="62"/>
      <c r="F11" s="62"/>
      <c r="G11" s="84"/>
      <c r="H11" s="84"/>
      <c r="I11" s="84"/>
      <c r="J11" s="84"/>
      <c r="K11" s="84"/>
      <c r="L11" s="84"/>
      <c r="M11" s="84"/>
      <c r="N11" s="85"/>
      <c r="O11" s="85"/>
      <c r="P11" s="85"/>
      <c r="Q11" s="85"/>
      <c r="R11" s="85"/>
      <c r="S11" s="85"/>
      <c r="T11" s="85"/>
      <c r="U11" s="85"/>
      <c r="V11" s="85"/>
      <c r="W11" s="85"/>
      <c r="X11" s="85"/>
      <c r="Y11" s="85"/>
      <c r="Z11" s="85"/>
    </row>
    <row r="12" spans="1:26">
      <c r="A12" s="62"/>
      <c r="C12" s="84"/>
      <c r="D12" s="84"/>
      <c r="E12" s="62"/>
      <c r="F12" s="62"/>
      <c r="G12" s="84"/>
      <c r="H12" s="84"/>
      <c r="I12" s="84"/>
      <c r="J12" s="84"/>
      <c r="K12" s="84"/>
      <c r="L12" s="84"/>
      <c r="M12" s="84"/>
      <c r="N12" s="85"/>
      <c r="O12" s="85"/>
      <c r="P12" s="85"/>
      <c r="Q12" s="85"/>
      <c r="R12" s="85"/>
      <c r="S12" s="85"/>
      <c r="T12" s="85"/>
      <c r="U12" s="85"/>
      <c r="V12" s="85"/>
      <c r="W12" s="85"/>
      <c r="X12" s="85"/>
      <c r="Y12" s="85"/>
      <c r="Z12" s="85"/>
    </row>
    <row r="13" spans="1:26">
      <c r="A13" s="62"/>
      <c r="C13" s="84"/>
      <c r="D13" s="84"/>
      <c r="E13" s="62"/>
      <c r="F13" s="62"/>
      <c r="G13" s="84"/>
      <c r="H13" s="84"/>
      <c r="I13" s="84"/>
      <c r="J13" s="84"/>
      <c r="K13" s="84"/>
      <c r="L13" s="84"/>
      <c r="M13" s="84"/>
      <c r="N13" s="85"/>
      <c r="O13" s="85"/>
      <c r="P13" s="85"/>
      <c r="Q13" s="85"/>
      <c r="R13" s="85"/>
      <c r="S13" s="85"/>
      <c r="T13" s="85"/>
      <c r="U13" s="85"/>
      <c r="V13" s="85"/>
      <c r="W13" s="85"/>
      <c r="X13" s="85"/>
      <c r="Y13" s="85"/>
      <c r="Z13" s="85"/>
    </row>
    <row r="14" spans="1:26">
      <c r="A14" s="62"/>
      <c r="C14" s="84"/>
      <c r="D14" s="84"/>
      <c r="E14" s="62"/>
      <c r="F14" s="62"/>
      <c r="G14" s="84"/>
      <c r="H14" s="84"/>
      <c r="I14" s="84"/>
      <c r="J14" s="84"/>
      <c r="K14" s="84"/>
      <c r="L14" s="84"/>
      <c r="M14" s="84"/>
      <c r="N14" s="85"/>
      <c r="O14" s="85"/>
      <c r="P14" s="85"/>
      <c r="Q14" s="85"/>
      <c r="R14" s="85"/>
      <c r="S14" s="85"/>
      <c r="T14" s="85"/>
      <c r="U14" s="85"/>
      <c r="V14" s="85"/>
      <c r="W14" s="85"/>
      <c r="X14" s="85"/>
      <c r="Y14" s="85"/>
      <c r="Z14" s="85"/>
    </row>
    <row r="15" spans="1:26">
      <c r="A15" s="62"/>
      <c r="C15" s="84"/>
      <c r="D15" s="84"/>
      <c r="E15" s="62"/>
      <c r="F15" s="62"/>
      <c r="G15" s="84"/>
      <c r="H15" s="84"/>
      <c r="I15" s="84"/>
      <c r="J15" s="84"/>
      <c r="K15" s="84"/>
      <c r="L15" s="84"/>
      <c r="M15" s="84"/>
      <c r="N15" s="85"/>
      <c r="O15" s="85"/>
      <c r="P15" s="85"/>
      <c r="Q15" s="85"/>
      <c r="R15" s="85"/>
      <c r="S15" s="85"/>
      <c r="T15" s="85"/>
      <c r="U15" s="85"/>
      <c r="V15" s="85"/>
      <c r="W15" s="85"/>
      <c r="X15" s="85"/>
      <c r="Y15" s="85"/>
      <c r="Z15" s="85"/>
    </row>
    <row r="16" spans="1:26">
      <c r="A16" s="62"/>
      <c r="C16" s="84"/>
      <c r="D16" s="84"/>
      <c r="E16" s="62"/>
      <c r="F16" s="62"/>
      <c r="G16" s="84"/>
      <c r="H16" s="84"/>
      <c r="I16" s="84"/>
      <c r="J16" s="84"/>
      <c r="K16" s="84"/>
      <c r="L16" s="84"/>
      <c r="M16" s="84"/>
      <c r="N16" s="85"/>
      <c r="O16" s="85"/>
      <c r="P16" s="85"/>
      <c r="Q16" s="85"/>
      <c r="R16" s="85"/>
      <c r="S16" s="85"/>
      <c r="T16" s="85"/>
      <c r="U16" s="85"/>
      <c r="V16" s="85"/>
      <c r="W16" s="85"/>
      <c r="X16" s="85"/>
      <c r="Y16" s="85"/>
      <c r="Z16" s="85"/>
    </row>
    <row r="17" spans="1:26">
      <c r="A17" s="62"/>
      <c r="C17" s="84"/>
      <c r="D17" s="84"/>
      <c r="E17" s="62"/>
      <c r="F17" s="62"/>
      <c r="G17" s="84"/>
      <c r="H17" s="84"/>
      <c r="I17" s="84"/>
      <c r="J17" s="84"/>
      <c r="K17" s="84"/>
      <c r="L17" s="84"/>
      <c r="M17" s="84"/>
      <c r="N17" s="85"/>
      <c r="O17" s="85"/>
      <c r="P17" s="85"/>
      <c r="Q17" s="85"/>
      <c r="R17" s="85"/>
      <c r="S17" s="85"/>
      <c r="T17" s="85"/>
      <c r="U17" s="85"/>
      <c r="V17" s="85"/>
      <c r="W17" s="85"/>
      <c r="X17" s="85"/>
      <c r="Y17" s="85"/>
      <c r="Z17" s="85"/>
    </row>
    <row r="18" spans="1:26">
      <c r="A18" s="62"/>
      <c r="C18" s="84"/>
      <c r="D18" s="84"/>
      <c r="E18" s="62"/>
      <c r="F18" s="62"/>
      <c r="G18" s="84"/>
      <c r="H18" s="84"/>
      <c r="I18" s="84"/>
      <c r="J18" s="84"/>
      <c r="K18" s="84"/>
      <c r="L18" s="84"/>
      <c r="M18" s="84"/>
      <c r="N18" s="85"/>
      <c r="O18" s="85"/>
      <c r="P18" s="85"/>
      <c r="Q18" s="85"/>
      <c r="R18" s="85"/>
      <c r="S18" s="85"/>
      <c r="T18" s="85"/>
      <c r="U18" s="85"/>
      <c r="V18" s="85"/>
      <c r="W18" s="85"/>
      <c r="X18" s="85"/>
      <c r="Y18" s="85"/>
      <c r="Z18" s="85"/>
    </row>
    <row r="19" spans="1:26">
      <c r="A19" s="62"/>
      <c r="C19" s="84"/>
      <c r="D19" s="84"/>
      <c r="E19" s="62"/>
      <c r="F19" s="62"/>
      <c r="G19" s="84"/>
      <c r="H19" s="84"/>
      <c r="I19" s="84"/>
      <c r="J19" s="84"/>
      <c r="K19" s="84"/>
      <c r="L19" s="84"/>
      <c r="M19" s="84"/>
      <c r="N19" s="85"/>
      <c r="O19" s="85"/>
      <c r="P19" s="85"/>
      <c r="Q19" s="85"/>
      <c r="R19" s="85"/>
      <c r="S19" s="85"/>
      <c r="T19" s="85"/>
      <c r="U19" s="85"/>
      <c r="V19" s="85"/>
      <c r="W19" s="85"/>
      <c r="X19" s="85"/>
      <c r="Y19" s="85"/>
      <c r="Z19" s="85"/>
    </row>
    <row r="20" spans="1:26">
      <c r="A20" s="62"/>
      <c r="C20" s="84"/>
      <c r="D20" s="84"/>
      <c r="E20" s="62"/>
      <c r="F20" s="62"/>
      <c r="G20" s="84"/>
      <c r="H20" s="84"/>
      <c r="I20" s="84"/>
      <c r="J20" s="84"/>
      <c r="K20" s="84"/>
      <c r="L20" s="84"/>
      <c r="M20" s="84"/>
      <c r="N20" s="85"/>
      <c r="O20" s="85"/>
      <c r="P20" s="85"/>
      <c r="Q20" s="85"/>
      <c r="R20" s="85"/>
      <c r="S20" s="85"/>
      <c r="T20" s="85"/>
      <c r="U20" s="85"/>
      <c r="V20" s="85"/>
      <c r="W20" s="85"/>
      <c r="X20" s="85"/>
      <c r="Y20" s="85"/>
      <c r="Z20" s="85"/>
    </row>
    <row r="21" spans="1:26">
      <c r="A21" s="62"/>
      <c r="C21" s="84"/>
      <c r="D21" s="84"/>
      <c r="E21" s="62"/>
      <c r="F21" s="62"/>
      <c r="G21" s="84"/>
      <c r="H21" s="84"/>
      <c r="I21" s="84"/>
      <c r="J21" s="84"/>
      <c r="K21" s="84"/>
      <c r="L21" s="84"/>
      <c r="M21" s="84"/>
      <c r="N21" s="85"/>
      <c r="O21" s="85"/>
      <c r="P21" s="85"/>
      <c r="Q21" s="85"/>
      <c r="R21" s="85"/>
      <c r="S21" s="85"/>
      <c r="T21" s="85"/>
      <c r="U21" s="85"/>
      <c r="V21" s="85"/>
      <c r="W21" s="85"/>
      <c r="X21" s="85"/>
      <c r="Y21" s="85"/>
      <c r="Z21" s="85"/>
    </row>
    <row r="22" spans="1:26">
      <c r="A22" s="62"/>
      <c r="C22" s="84"/>
      <c r="D22" s="84"/>
      <c r="E22" s="62"/>
      <c r="F22" s="62"/>
      <c r="G22" s="84"/>
      <c r="H22" s="84"/>
      <c r="I22" s="84"/>
      <c r="J22" s="84"/>
      <c r="K22" s="84"/>
      <c r="L22" s="84"/>
      <c r="M22" s="84"/>
      <c r="N22" s="85"/>
      <c r="O22" s="85"/>
      <c r="P22" s="85"/>
      <c r="Q22" s="85"/>
      <c r="R22" s="85"/>
      <c r="S22" s="85"/>
      <c r="T22" s="85"/>
      <c r="U22" s="85"/>
      <c r="V22" s="85"/>
      <c r="W22" s="85"/>
      <c r="X22" s="85"/>
      <c r="Y22" s="85"/>
      <c r="Z22" s="85"/>
    </row>
    <row r="23" spans="1:26">
      <c r="A23" s="62"/>
      <c r="C23" s="84"/>
      <c r="D23" s="84"/>
      <c r="E23" s="62"/>
      <c r="F23" s="62"/>
      <c r="G23" s="84"/>
      <c r="H23" s="84"/>
      <c r="I23" s="84"/>
      <c r="J23" s="84"/>
      <c r="K23" s="84"/>
      <c r="L23" s="84"/>
      <c r="M23" s="84"/>
      <c r="N23" s="85"/>
      <c r="O23" s="85"/>
      <c r="P23" s="85"/>
      <c r="Q23" s="85"/>
      <c r="R23" s="85"/>
      <c r="S23" s="85"/>
      <c r="T23" s="85"/>
      <c r="U23" s="85"/>
      <c r="V23" s="85"/>
      <c r="W23" s="85"/>
      <c r="X23" s="85"/>
      <c r="Y23" s="85"/>
      <c r="Z23" s="85"/>
    </row>
    <row r="24" spans="1:26">
      <c r="A24" s="62"/>
      <c r="C24" s="84"/>
      <c r="D24" s="84"/>
      <c r="E24" s="62"/>
      <c r="F24" s="62"/>
      <c r="G24" s="84"/>
      <c r="H24" s="84"/>
      <c r="I24" s="84"/>
      <c r="J24" s="84"/>
      <c r="K24" s="84"/>
      <c r="L24" s="84"/>
      <c r="M24" s="84"/>
      <c r="N24" s="85"/>
      <c r="O24" s="85"/>
      <c r="P24" s="85"/>
      <c r="Q24" s="85"/>
      <c r="R24" s="85"/>
      <c r="S24" s="85"/>
      <c r="T24" s="85"/>
      <c r="U24" s="85"/>
      <c r="V24" s="85"/>
      <c r="W24" s="85"/>
      <c r="X24" s="85"/>
      <c r="Y24" s="85"/>
      <c r="Z24" s="85"/>
    </row>
    <row r="25" spans="1:26">
      <c r="A25" s="62"/>
      <c r="C25" s="84"/>
      <c r="D25" s="84"/>
      <c r="E25" s="62"/>
      <c r="F25" s="62"/>
      <c r="G25" s="84"/>
      <c r="H25" s="84"/>
      <c r="I25" s="84"/>
      <c r="J25" s="84"/>
      <c r="K25" s="84"/>
      <c r="L25" s="84"/>
      <c r="M25" s="84"/>
      <c r="N25" s="85"/>
      <c r="O25" s="85"/>
      <c r="P25" s="85"/>
      <c r="Q25" s="85"/>
      <c r="R25" s="85"/>
      <c r="S25" s="85"/>
      <c r="T25" s="85"/>
      <c r="U25" s="85"/>
      <c r="V25" s="85"/>
      <c r="W25" s="85"/>
      <c r="X25" s="85"/>
      <c r="Y25" s="85"/>
      <c r="Z25" s="85"/>
    </row>
    <row r="26" spans="1:26">
      <c r="A26" s="62"/>
      <c r="C26" s="84"/>
      <c r="D26" s="84"/>
      <c r="E26" s="62"/>
      <c r="F26" s="62"/>
      <c r="G26" s="84"/>
      <c r="H26" s="84"/>
      <c r="I26" s="84"/>
      <c r="J26" s="84"/>
      <c r="K26" s="84"/>
      <c r="L26" s="84"/>
      <c r="M26" s="84"/>
      <c r="N26" s="85"/>
      <c r="O26" s="85"/>
      <c r="P26" s="85"/>
      <c r="Q26" s="85"/>
      <c r="R26" s="85"/>
      <c r="S26" s="85"/>
      <c r="T26" s="85"/>
      <c r="U26" s="85"/>
      <c r="V26" s="85"/>
      <c r="W26" s="85"/>
      <c r="X26" s="85"/>
      <c r="Y26" s="85"/>
      <c r="Z26" s="85"/>
    </row>
    <row r="27" spans="1:26">
      <c r="A27" s="62"/>
      <c r="C27" s="84"/>
      <c r="D27" s="84"/>
      <c r="E27" s="62"/>
      <c r="F27" s="62"/>
      <c r="G27" s="84"/>
      <c r="H27" s="84"/>
      <c r="I27" s="84"/>
      <c r="J27" s="84"/>
      <c r="K27" s="84"/>
      <c r="L27" s="84"/>
      <c r="M27" s="84"/>
      <c r="N27" s="85"/>
      <c r="O27" s="85"/>
      <c r="P27" s="85"/>
      <c r="Q27" s="85"/>
      <c r="R27" s="85"/>
      <c r="S27" s="85"/>
      <c r="T27" s="85"/>
      <c r="U27" s="85"/>
      <c r="V27" s="85"/>
      <c r="W27" s="85"/>
      <c r="X27" s="85"/>
      <c r="Y27" s="85"/>
      <c r="Z27" s="85"/>
    </row>
    <row r="28" spans="1:26">
      <c r="A28" s="62"/>
      <c r="C28" s="84"/>
      <c r="D28" s="84"/>
      <c r="E28" s="62"/>
      <c r="F28" s="62"/>
      <c r="G28" s="84"/>
      <c r="H28" s="84"/>
      <c r="I28" s="84"/>
      <c r="J28" s="84"/>
      <c r="K28" s="84"/>
      <c r="L28" s="84"/>
      <c r="M28" s="84"/>
      <c r="N28" s="85"/>
      <c r="O28" s="85"/>
      <c r="P28" s="85"/>
      <c r="Q28" s="85"/>
      <c r="R28" s="85"/>
      <c r="S28" s="85"/>
      <c r="T28" s="85"/>
      <c r="U28" s="85"/>
      <c r="V28" s="85"/>
      <c r="W28" s="85"/>
      <c r="X28" s="85"/>
      <c r="Y28" s="85"/>
      <c r="Z28" s="85"/>
    </row>
    <row r="29" spans="1:26">
      <c r="A29" s="62"/>
      <c r="C29" s="84"/>
      <c r="D29" s="84"/>
      <c r="E29" s="62"/>
      <c r="F29" s="62"/>
      <c r="G29" s="84"/>
      <c r="H29" s="84"/>
      <c r="I29" s="84"/>
      <c r="J29" s="84"/>
      <c r="K29" s="84"/>
      <c r="L29" s="84"/>
      <c r="M29" s="84"/>
      <c r="N29" s="85"/>
      <c r="O29" s="85"/>
      <c r="P29" s="85"/>
      <c r="Q29" s="85"/>
      <c r="R29" s="85"/>
      <c r="S29" s="85"/>
      <c r="T29" s="85"/>
      <c r="U29" s="85"/>
      <c r="V29" s="85"/>
      <c r="W29" s="85"/>
      <c r="X29" s="85"/>
      <c r="Y29" s="85"/>
      <c r="Z29" s="85"/>
    </row>
    <row r="30" spans="1:26">
      <c r="A30" s="62"/>
      <c r="C30" s="84"/>
      <c r="D30" s="84"/>
      <c r="E30" s="62"/>
      <c r="F30" s="62"/>
      <c r="G30" s="84"/>
      <c r="H30" s="84"/>
      <c r="I30" s="84"/>
      <c r="J30" s="84"/>
      <c r="K30" s="84"/>
      <c r="L30" s="84"/>
      <c r="M30" s="84"/>
      <c r="N30" s="85"/>
      <c r="O30" s="85"/>
      <c r="P30" s="85"/>
      <c r="Q30" s="85"/>
      <c r="R30" s="85"/>
      <c r="S30" s="85"/>
      <c r="T30" s="85"/>
      <c r="U30" s="85"/>
      <c r="V30" s="85"/>
      <c r="W30" s="85"/>
      <c r="X30" s="85"/>
      <c r="Y30" s="85"/>
      <c r="Z30" s="85"/>
    </row>
    <row r="31" spans="1:26">
      <c r="A31" s="62"/>
      <c r="C31" s="84"/>
      <c r="D31" s="84"/>
      <c r="E31" s="62"/>
      <c r="F31" s="62"/>
      <c r="G31" s="84"/>
      <c r="H31" s="84"/>
      <c r="I31" s="84"/>
      <c r="J31" s="84"/>
      <c r="K31" s="84"/>
      <c r="L31" s="84"/>
      <c r="M31" s="84"/>
      <c r="N31" s="85"/>
      <c r="O31" s="85"/>
      <c r="P31" s="85"/>
      <c r="Q31" s="85"/>
      <c r="R31" s="85"/>
      <c r="S31" s="85"/>
      <c r="T31" s="85"/>
      <c r="U31" s="85"/>
      <c r="V31" s="85"/>
      <c r="W31" s="85"/>
      <c r="X31" s="85"/>
      <c r="Y31" s="85"/>
      <c r="Z31" s="85"/>
    </row>
    <row r="32" spans="1:26">
      <c r="A32" s="62"/>
      <c r="C32" s="84"/>
      <c r="D32" s="84"/>
      <c r="E32" s="62"/>
      <c r="F32" s="62"/>
      <c r="G32" s="84"/>
      <c r="H32" s="84"/>
      <c r="I32" s="84"/>
      <c r="J32" s="84"/>
      <c r="K32" s="84"/>
      <c r="L32" s="84"/>
      <c r="M32" s="84"/>
      <c r="N32" s="85"/>
      <c r="O32" s="85"/>
      <c r="P32" s="85"/>
      <c r="Q32" s="85"/>
      <c r="R32" s="85"/>
      <c r="S32" s="85"/>
      <c r="T32" s="85"/>
      <c r="U32" s="85"/>
      <c r="V32" s="85"/>
      <c r="W32" s="85"/>
      <c r="X32" s="85"/>
      <c r="Y32" s="85"/>
      <c r="Z32" s="85"/>
    </row>
    <row r="33" spans="1:26">
      <c r="A33" s="62"/>
      <c r="C33" s="84"/>
      <c r="D33" s="84"/>
      <c r="E33" s="62"/>
      <c r="F33" s="62"/>
      <c r="G33" s="84"/>
      <c r="H33" s="84"/>
      <c r="I33" s="84"/>
      <c r="J33" s="84"/>
      <c r="K33" s="84"/>
      <c r="L33" s="84"/>
      <c r="M33" s="84"/>
      <c r="N33" s="85"/>
      <c r="O33" s="85"/>
      <c r="P33" s="85"/>
      <c r="Q33" s="85"/>
      <c r="R33" s="85"/>
      <c r="S33" s="85"/>
      <c r="T33" s="85"/>
      <c r="U33" s="85"/>
      <c r="V33" s="85"/>
      <c r="W33" s="85"/>
      <c r="X33" s="85"/>
      <c r="Y33" s="85"/>
      <c r="Z33" s="85"/>
    </row>
    <row r="34" spans="1:26">
      <c r="A34" s="62"/>
      <c r="C34" s="84"/>
      <c r="D34" s="84"/>
      <c r="E34" s="62"/>
      <c r="F34" s="62"/>
      <c r="G34" s="84"/>
      <c r="H34" s="84"/>
      <c r="I34" s="84"/>
      <c r="J34" s="84"/>
      <c r="K34" s="84"/>
      <c r="L34" s="84"/>
      <c r="M34" s="84"/>
      <c r="N34" s="85"/>
      <c r="O34" s="85"/>
      <c r="P34" s="85"/>
      <c r="Q34" s="85"/>
      <c r="R34" s="85"/>
      <c r="S34" s="85"/>
      <c r="T34" s="85"/>
      <c r="U34" s="85"/>
      <c r="V34" s="85"/>
      <c r="W34" s="85"/>
      <c r="X34" s="85"/>
      <c r="Y34" s="85"/>
      <c r="Z34" s="85"/>
    </row>
    <row r="35" spans="1:26">
      <c r="A35" s="62"/>
      <c r="C35" s="84"/>
      <c r="D35" s="84"/>
      <c r="E35" s="62"/>
      <c r="F35" s="62"/>
      <c r="G35" s="84"/>
      <c r="H35" s="84"/>
      <c r="I35" s="84"/>
      <c r="J35" s="84"/>
      <c r="K35" s="84"/>
      <c r="L35" s="84"/>
      <c r="M35" s="84"/>
      <c r="N35" s="85"/>
      <c r="O35" s="85"/>
      <c r="P35" s="85"/>
      <c r="Q35" s="85"/>
      <c r="R35" s="85"/>
      <c r="S35" s="85"/>
      <c r="T35" s="85"/>
      <c r="U35" s="85"/>
      <c r="V35" s="85"/>
      <c r="W35" s="85"/>
      <c r="X35" s="85"/>
      <c r="Y35" s="85"/>
      <c r="Z35" s="85"/>
    </row>
    <row r="36" spans="1:26">
      <c r="A36" s="62"/>
      <c r="C36" s="84"/>
      <c r="D36" s="84"/>
      <c r="E36" s="62"/>
      <c r="F36" s="62"/>
      <c r="G36" s="84"/>
      <c r="H36" s="84"/>
      <c r="I36" s="84"/>
      <c r="J36" s="84"/>
      <c r="K36" s="84"/>
      <c r="L36" s="84"/>
      <c r="M36" s="84"/>
      <c r="N36" s="85"/>
      <c r="O36" s="85"/>
      <c r="P36" s="85"/>
      <c r="Q36" s="85"/>
      <c r="R36" s="85"/>
      <c r="S36" s="85"/>
      <c r="T36" s="85"/>
      <c r="U36" s="85"/>
      <c r="V36" s="85"/>
      <c r="W36" s="85"/>
      <c r="X36" s="85"/>
      <c r="Y36" s="85"/>
      <c r="Z36" s="85"/>
    </row>
    <row r="37" spans="1:26">
      <c r="A37" s="62"/>
      <c r="C37" s="84"/>
      <c r="D37" s="84"/>
      <c r="E37" s="62"/>
      <c r="F37" s="62"/>
      <c r="G37" s="84"/>
      <c r="H37" s="84"/>
      <c r="I37" s="84"/>
      <c r="J37" s="84"/>
      <c r="K37" s="84"/>
      <c r="L37" s="84"/>
      <c r="M37" s="84"/>
      <c r="N37" s="85"/>
      <c r="O37" s="85"/>
      <c r="P37" s="85"/>
      <c r="Q37" s="85"/>
      <c r="R37" s="85"/>
      <c r="S37" s="85"/>
      <c r="T37" s="85"/>
      <c r="U37" s="85"/>
      <c r="V37" s="85"/>
      <c r="W37" s="85"/>
      <c r="X37" s="85"/>
      <c r="Y37" s="85"/>
      <c r="Z37" s="85"/>
    </row>
    <row r="38" spans="1:26">
      <c r="A38" s="62"/>
      <c r="C38" s="84"/>
      <c r="D38" s="84"/>
      <c r="E38" s="62"/>
      <c r="F38" s="62"/>
      <c r="G38" s="84"/>
      <c r="H38" s="84"/>
      <c r="I38" s="84"/>
      <c r="J38" s="84"/>
      <c r="K38" s="84"/>
      <c r="L38" s="84"/>
      <c r="M38" s="84"/>
      <c r="N38" s="85"/>
      <c r="O38" s="85"/>
      <c r="P38" s="85"/>
      <c r="Q38" s="85"/>
      <c r="R38" s="85"/>
      <c r="S38" s="85"/>
      <c r="T38" s="85"/>
      <c r="U38" s="85"/>
      <c r="V38" s="85"/>
      <c r="W38" s="85"/>
      <c r="X38" s="85"/>
      <c r="Y38" s="85"/>
      <c r="Z38" s="85"/>
    </row>
    <row r="39" spans="1:26">
      <c r="A39" s="62"/>
      <c r="C39" s="84"/>
      <c r="D39" s="84"/>
      <c r="E39" s="62"/>
      <c r="F39" s="62"/>
      <c r="G39" s="84"/>
      <c r="H39" s="84"/>
      <c r="I39" s="84"/>
      <c r="J39" s="84"/>
      <c r="K39" s="84"/>
      <c r="L39" s="84"/>
      <c r="M39" s="84"/>
      <c r="N39" s="85"/>
      <c r="O39" s="85"/>
      <c r="P39" s="85"/>
      <c r="Q39" s="85"/>
      <c r="R39" s="85"/>
      <c r="S39" s="85"/>
      <c r="T39" s="85"/>
      <c r="U39" s="85"/>
      <c r="V39" s="85"/>
      <c r="W39" s="85"/>
      <c r="X39" s="85"/>
      <c r="Y39" s="85"/>
      <c r="Z39" s="85"/>
    </row>
    <row r="40" spans="1:26">
      <c r="A40" s="62"/>
      <c r="C40" s="84"/>
      <c r="D40" s="84"/>
      <c r="E40" s="62"/>
      <c r="F40" s="62"/>
      <c r="G40" s="84"/>
      <c r="H40" s="84"/>
      <c r="I40" s="84"/>
      <c r="J40" s="84"/>
      <c r="K40" s="84"/>
      <c r="L40" s="84"/>
      <c r="M40" s="84"/>
      <c r="N40" s="85"/>
      <c r="O40" s="85"/>
      <c r="P40" s="85"/>
      <c r="Q40" s="85"/>
      <c r="R40" s="85"/>
      <c r="S40" s="85"/>
      <c r="T40" s="85"/>
      <c r="U40" s="85"/>
      <c r="V40" s="85"/>
      <c r="W40" s="85"/>
      <c r="X40" s="85"/>
      <c r="Y40" s="85"/>
      <c r="Z40" s="85"/>
    </row>
    <row r="41" spans="1:26">
      <c r="A41" s="62"/>
      <c r="C41" s="84"/>
      <c r="D41" s="84"/>
      <c r="E41" s="62"/>
      <c r="F41" s="62"/>
      <c r="G41" s="84"/>
      <c r="H41" s="84"/>
      <c r="I41" s="84"/>
      <c r="J41" s="84"/>
      <c r="K41" s="84"/>
      <c r="L41" s="84"/>
      <c r="M41" s="84"/>
      <c r="N41" s="85"/>
      <c r="O41" s="85"/>
      <c r="P41" s="85"/>
      <c r="Q41" s="85"/>
      <c r="R41" s="85"/>
      <c r="S41" s="85"/>
      <c r="T41" s="85"/>
      <c r="U41" s="85"/>
      <c r="V41" s="85"/>
      <c r="W41" s="85"/>
      <c r="X41" s="85"/>
      <c r="Y41" s="85"/>
      <c r="Z41" s="85"/>
    </row>
    <row r="42" spans="1:26">
      <c r="A42" s="62"/>
      <c r="C42" s="84"/>
      <c r="D42" s="84"/>
      <c r="E42" s="62"/>
      <c r="F42" s="62"/>
      <c r="G42" s="84"/>
      <c r="H42" s="84"/>
      <c r="I42" s="84"/>
      <c r="J42" s="84"/>
      <c r="K42" s="84"/>
      <c r="L42" s="84"/>
      <c r="M42" s="84"/>
      <c r="N42" s="85"/>
      <c r="O42" s="85"/>
      <c r="P42" s="85"/>
      <c r="Q42" s="85"/>
      <c r="R42" s="85"/>
      <c r="S42" s="85"/>
      <c r="T42" s="85"/>
      <c r="U42" s="85"/>
      <c r="V42" s="85"/>
      <c r="W42" s="85"/>
      <c r="X42" s="85"/>
      <c r="Y42" s="85"/>
      <c r="Z42" s="85"/>
    </row>
    <row r="43" spans="1:26">
      <c r="A43" s="62"/>
      <c r="C43" s="84"/>
      <c r="D43" s="84"/>
      <c r="E43" s="62"/>
      <c r="F43" s="62"/>
      <c r="G43" s="84"/>
      <c r="H43" s="84"/>
      <c r="I43" s="84"/>
      <c r="J43" s="84"/>
      <c r="K43" s="84"/>
      <c r="L43" s="84"/>
      <c r="M43" s="84"/>
      <c r="N43" s="85"/>
      <c r="O43" s="85"/>
      <c r="P43" s="85"/>
      <c r="Q43" s="85"/>
      <c r="R43" s="85"/>
      <c r="S43" s="85"/>
      <c r="T43" s="85"/>
      <c r="U43" s="85"/>
      <c r="V43" s="85"/>
      <c r="W43" s="85"/>
      <c r="X43" s="85"/>
      <c r="Y43" s="85"/>
      <c r="Z43" s="85"/>
    </row>
    <row r="44" spans="1:26">
      <c r="A44" s="62"/>
      <c r="C44" s="84"/>
      <c r="D44" s="84"/>
      <c r="E44" s="62"/>
      <c r="F44" s="62"/>
      <c r="G44" s="84"/>
      <c r="H44" s="84"/>
      <c r="I44" s="84"/>
      <c r="J44" s="84"/>
      <c r="K44" s="84"/>
      <c r="L44" s="84"/>
      <c r="M44" s="84"/>
      <c r="N44" s="85"/>
      <c r="O44" s="85"/>
      <c r="P44" s="85"/>
      <c r="Q44" s="85"/>
      <c r="R44" s="85"/>
      <c r="S44" s="85"/>
      <c r="T44" s="85"/>
      <c r="U44" s="85"/>
      <c r="V44" s="85"/>
      <c r="W44" s="85"/>
      <c r="X44" s="85"/>
      <c r="Y44" s="85"/>
      <c r="Z44" s="85"/>
    </row>
    <row r="45" spans="1:26">
      <c r="A45" s="62"/>
      <c r="C45" s="84"/>
      <c r="D45" s="84"/>
      <c r="E45" s="62"/>
      <c r="F45" s="62"/>
      <c r="G45" s="84"/>
      <c r="H45" s="84"/>
      <c r="I45" s="84"/>
      <c r="J45" s="84"/>
      <c r="K45" s="84"/>
      <c r="L45" s="84"/>
      <c r="M45" s="84"/>
      <c r="N45" s="85"/>
      <c r="O45" s="85"/>
      <c r="P45" s="85"/>
      <c r="Q45" s="85"/>
      <c r="R45" s="85"/>
      <c r="S45" s="85"/>
      <c r="T45" s="85"/>
      <c r="U45" s="85"/>
      <c r="V45" s="85"/>
      <c r="W45" s="85"/>
      <c r="X45" s="85"/>
      <c r="Y45" s="85"/>
      <c r="Z45" s="85"/>
    </row>
    <row r="46" spans="1:26">
      <c r="A46" s="62"/>
      <c r="C46" s="84"/>
      <c r="D46" s="84"/>
      <c r="E46" s="62"/>
      <c r="F46" s="62"/>
      <c r="G46" s="84"/>
      <c r="H46" s="84"/>
      <c r="I46" s="84"/>
      <c r="J46" s="84"/>
      <c r="K46" s="84"/>
      <c r="L46" s="84"/>
      <c r="M46" s="84"/>
      <c r="N46" s="85"/>
      <c r="O46" s="85"/>
      <c r="P46" s="85"/>
      <c r="Q46" s="85"/>
      <c r="R46" s="85"/>
      <c r="S46" s="85"/>
      <c r="T46" s="85"/>
      <c r="U46" s="85"/>
      <c r="V46" s="85"/>
      <c r="W46" s="85"/>
      <c r="X46" s="85"/>
      <c r="Y46" s="85"/>
      <c r="Z46" s="85"/>
    </row>
    <row r="47" spans="1:26">
      <c r="A47" s="62"/>
      <c r="C47" s="84"/>
      <c r="D47" s="84"/>
      <c r="E47" s="62"/>
      <c r="F47" s="62"/>
      <c r="G47" s="84"/>
      <c r="H47" s="84"/>
      <c r="I47" s="84"/>
      <c r="J47" s="84"/>
      <c r="K47" s="84"/>
      <c r="L47" s="84"/>
      <c r="M47" s="84"/>
      <c r="N47" s="85"/>
      <c r="O47" s="85"/>
      <c r="P47" s="85"/>
      <c r="Q47" s="85"/>
      <c r="R47" s="85"/>
      <c r="S47" s="85"/>
      <c r="T47" s="85"/>
      <c r="U47" s="85"/>
      <c r="V47" s="85"/>
      <c r="W47" s="85"/>
      <c r="X47" s="85"/>
      <c r="Y47" s="85"/>
      <c r="Z47" s="85"/>
    </row>
    <row r="48" spans="1:26">
      <c r="A48" s="62"/>
      <c r="C48" s="84"/>
      <c r="D48" s="84"/>
      <c r="E48" s="62"/>
      <c r="F48" s="62"/>
      <c r="G48" s="84"/>
      <c r="H48" s="84"/>
      <c r="I48" s="84"/>
      <c r="J48" s="84"/>
      <c r="K48" s="84"/>
      <c r="L48" s="84"/>
      <c r="M48" s="84"/>
      <c r="N48" s="85"/>
      <c r="O48" s="85"/>
      <c r="P48" s="85"/>
      <c r="Q48" s="85"/>
      <c r="R48" s="85"/>
      <c r="S48" s="85"/>
      <c r="T48" s="85"/>
      <c r="U48" s="85"/>
      <c r="V48" s="85"/>
      <c r="W48" s="85"/>
      <c r="X48" s="85"/>
      <c r="Y48" s="85"/>
      <c r="Z48" s="85"/>
    </row>
    <row r="49" spans="1:26">
      <c r="A49" s="62"/>
      <c r="C49" s="84"/>
      <c r="D49" s="84"/>
      <c r="E49" s="62"/>
      <c r="F49" s="62"/>
      <c r="G49" s="84"/>
      <c r="H49" s="84"/>
      <c r="I49" s="84"/>
      <c r="J49" s="84"/>
      <c r="K49" s="84"/>
      <c r="L49" s="84"/>
      <c r="M49" s="84"/>
      <c r="N49" s="85"/>
      <c r="O49" s="85"/>
      <c r="P49" s="85"/>
      <c r="Q49" s="85"/>
      <c r="R49" s="85"/>
      <c r="S49" s="85"/>
      <c r="T49" s="85"/>
      <c r="U49" s="85"/>
      <c r="V49" s="85"/>
      <c r="W49" s="85"/>
      <c r="X49" s="85"/>
      <c r="Y49" s="85"/>
      <c r="Z49" s="85"/>
    </row>
    <row r="50" spans="1:26">
      <c r="A50" s="62"/>
      <c r="C50" s="84"/>
      <c r="D50" s="84"/>
      <c r="E50" s="62"/>
      <c r="F50" s="62"/>
      <c r="G50" s="84"/>
      <c r="H50" s="84"/>
      <c r="I50" s="84"/>
      <c r="J50" s="84"/>
      <c r="K50" s="84"/>
      <c r="L50" s="84"/>
      <c r="M50" s="84"/>
      <c r="N50" s="85"/>
      <c r="O50" s="85"/>
      <c r="P50" s="85"/>
      <c r="Q50" s="85"/>
      <c r="R50" s="85"/>
      <c r="S50" s="85"/>
      <c r="T50" s="85"/>
      <c r="U50" s="85"/>
      <c r="V50" s="85"/>
      <c r="W50" s="85"/>
      <c r="X50" s="85"/>
      <c r="Y50" s="85"/>
      <c r="Z50" s="85"/>
    </row>
    <row r="51" spans="1:26">
      <c r="A51" s="62"/>
      <c r="C51" s="84"/>
      <c r="D51" s="84"/>
      <c r="E51" s="62"/>
      <c r="F51" s="62"/>
      <c r="G51" s="84"/>
      <c r="H51" s="84"/>
      <c r="I51" s="84"/>
      <c r="J51" s="84"/>
      <c r="K51" s="84"/>
      <c r="L51" s="84"/>
      <c r="M51" s="84"/>
      <c r="N51" s="85"/>
      <c r="O51" s="85"/>
      <c r="P51" s="85"/>
      <c r="Q51" s="85"/>
      <c r="R51" s="85"/>
      <c r="S51" s="85"/>
      <c r="T51" s="85"/>
      <c r="U51" s="85"/>
      <c r="V51" s="85"/>
      <c r="W51" s="85"/>
      <c r="X51" s="85"/>
      <c r="Y51" s="85"/>
      <c r="Z51" s="85"/>
    </row>
    <row r="52" spans="1:26">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6"/>
    <col min="14" max="14" width="4.7109375" style="86" customWidth="1"/>
    <col min="15" max="16" width="13.28515625" style="86"/>
    <col min="17" max="17" width="4.7109375" style="86" customWidth="1"/>
    <col min="18" max="19" width="13.28515625" style="86"/>
    <col min="20" max="20" width="4.7109375" style="86" customWidth="1"/>
    <col min="21" max="23" width="13.28515625" style="86"/>
    <col min="24" max="24" width="4.7109375" style="86" customWidth="1"/>
    <col min="25" max="27" width="13.28515625" style="86"/>
    <col min="28" max="28" width="4.7109375" style="86" customWidth="1"/>
    <col min="29" max="30" width="13.28515625" style="86"/>
    <col min="31" max="31" width="4.7109375" style="86" customWidth="1"/>
    <col min="32" max="1023" width="13.28515625" style="86"/>
    <col min="1024" max="1025" width="13.28515625" style="6"/>
  </cols>
  <sheetData>
    <row r="1" spans="1:31" ht="32.25" customHeight="1">
      <c r="A1" s="58" t="s">
        <v>85</v>
      </c>
      <c r="B1" s="58" t="s">
        <v>86</v>
      </c>
      <c r="C1" s="19"/>
      <c r="D1" s="58" t="s">
        <v>89</v>
      </c>
      <c r="E1" s="58" t="s">
        <v>90</v>
      </c>
      <c r="F1" s="58" t="s">
        <v>90</v>
      </c>
      <c r="G1" s="58" t="s">
        <v>91</v>
      </c>
      <c r="H1" s="156" t="s">
        <v>92</v>
      </c>
      <c r="I1" s="156"/>
      <c r="J1" s="156" t="s">
        <v>93</v>
      </c>
      <c r="K1" s="156"/>
      <c r="L1" s="60"/>
      <c r="M1" s="58" t="s">
        <v>95</v>
      </c>
      <c r="N1" s="9"/>
      <c r="O1" s="19" t="s">
        <v>141</v>
      </c>
      <c r="P1" s="19"/>
      <c r="Q1" s="9"/>
      <c r="R1" s="159" t="s">
        <v>122</v>
      </c>
      <c r="S1" s="159"/>
      <c r="T1" s="9"/>
      <c r="U1" s="58" t="s">
        <v>85</v>
      </c>
      <c r="V1" s="58" t="s">
        <v>86</v>
      </c>
      <c r="W1" s="19"/>
      <c r="X1" s="9"/>
      <c r="Y1" s="163" t="s">
        <v>142</v>
      </c>
      <c r="Z1" s="163"/>
      <c r="AA1" s="163"/>
      <c r="AB1" s="9"/>
      <c r="AC1" s="164" t="s">
        <v>143</v>
      </c>
      <c r="AD1" s="164"/>
      <c r="AE1" s="9"/>
    </row>
    <row r="2" spans="1:31" ht="45">
      <c r="A2" s="58" t="s">
        <v>96</v>
      </c>
      <c r="B2" s="58" t="s">
        <v>96</v>
      </c>
      <c r="C2" s="58" t="s">
        <v>144</v>
      </c>
      <c r="D2" s="58" t="s">
        <v>96</v>
      </c>
      <c r="E2" s="58" t="s">
        <v>96</v>
      </c>
      <c r="F2" s="58" t="s">
        <v>140</v>
      </c>
      <c r="G2" s="58"/>
      <c r="H2" s="58" t="s">
        <v>97</v>
      </c>
      <c r="I2" s="58" t="s">
        <v>96</v>
      </c>
      <c r="J2" s="58" t="s">
        <v>97</v>
      </c>
      <c r="K2" s="58" t="s">
        <v>96</v>
      </c>
      <c r="L2" s="1" t="s">
        <v>145</v>
      </c>
      <c r="M2" s="58" t="s">
        <v>94</v>
      </c>
      <c r="N2" s="9"/>
      <c r="O2" s="87" t="s">
        <v>146</v>
      </c>
      <c r="P2" s="87" t="s">
        <v>103</v>
      </c>
      <c r="Q2" s="9"/>
      <c r="R2" s="75" t="s">
        <v>135</v>
      </c>
      <c r="S2" s="76" t="s">
        <v>136</v>
      </c>
      <c r="T2" s="9"/>
      <c r="U2" s="58" t="s">
        <v>96</v>
      </c>
      <c r="V2" s="58" t="s">
        <v>96</v>
      </c>
      <c r="W2" s="58" t="s">
        <v>144</v>
      </c>
      <c r="X2" s="9"/>
      <c r="Y2" s="58" t="s">
        <v>147</v>
      </c>
      <c r="Z2" s="58" t="s">
        <v>148</v>
      </c>
      <c r="AA2" s="58"/>
      <c r="AB2" s="9"/>
      <c r="AC2" s="19" t="s">
        <v>149</v>
      </c>
      <c r="AD2" s="19" t="s">
        <v>40</v>
      </c>
      <c r="AE2" s="9"/>
    </row>
    <row r="3" spans="1:31" ht="15">
      <c r="A3" s="87" t="s">
        <v>8</v>
      </c>
      <c r="B3" s="87" t="s">
        <v>8</v>
      </c>
      <c r="C3" s="87"/>
      <c r="D3" s="60" t="s">
        <v>99</v>
      </c>
      <c r="E3" s="61" t="s">
        <v>150</v>
      </c>
      <c r="F3" s="60" t="s">
        <v>101</v>
      </c>
      <c r="G3" s="61" t="s">
        <v>100</v>
      </c>
      <c r="H3" s="60" t="s">
        <v>1</v>
      </c>
      <c r="I3" s="60" t="s">
        <v>99</v>
      </c>
      <c r="J3" s="60" t="s">
        <v>1</v>
      </c>
      <c r="K3" s="60" t="s">
        <v>99</v>
      </c>
      <c r="L3" s="60" t="s">
        <v>151</v>
      </c>
      <c r="M3" s="61" t="s">
        <v>152</v>
      </c>
      <c r="N3" s="9"/>
      <c r="O3" s="87" t="s">
        <v>8</v>
      </c>
      <c r="P3" s="87" t="s">
        <v>55</v>
      </c>
      <c r="Q3" s="9"/>
      <c r="R3" s="78" t="s">
        <v>1</v>
      </c>
      <c r="S3" s="79"/>
      <c r="T3" s="9"/>
      <c r="U3" s="87" t="s">
        <v>8</v>
      </c>
      <c r="V3" s="87" t="s">
        <v>8</v>
      </c>
      <c r="W3" s="87"/>
      <c r="X3" s="9"/>
      <c r="Y3" s="87"/>
      <c r="Z3" s="87"/>
      <c r="AA3" s="87"/>
      <c r="AB3" s="9"/>
      <c r="AC3" s="19" t="s">
        <v>153</v>
      </c>
      <c r="AD3" s="19" t="s">
        <v>8</v>
      </c>
      <c r="AE3" s="9"/>
    </row>
    <row r="4" spans="1:31">
      <c r="A4" s="88"/>
      <c r="B4" s="88"/>
      <c r="C4" s="88"/>
      <c r="D4" s="6"/>
      <c r="E4" s="6"/>
      <c r="F4" s="6"/>
      <c r="G4" s="6"/>
      <c r="H4" s="6"/>
      <c r="I4" s="6"/>
      <c r="J4" s="6"/>
      <c r="K4" s="6"/>
      <c r="L4" s="6"/>
      <c r="M4" s="6"/>
      <c r="N4" s="9"/>
      <c r="O4" s="88"/>
      <c r="P4" s="88"/>
      <c r="Q4" s="9"/>
      <c r="R4" s="88"/>
      <c r="S4" s="82"/>
      <c r="T4" s="9"/>
      <c r="U4" s="88"/>
      <c r="V4" s="88"/>
      <c r="W4" s="88"/>
      <c r="X4" s="9"/>
      <c r="Y4" s="89"/>
      <c r="Z4" s="88"/>
      <c r="AA4" s="88"/>
      <c r="AB4" s="9"/>
      <c r="AE4" s="9"/>
    </row>
    <row r="5" spans="1:31">
      <c r="A5" s="88"/>
      <c r="B5" s="88"/>
      <c r="C5" s="88"/>
      <c r="D5" s="6"/>
      <c r="E5" s="6"/>
      <c r="F5" s="6"/>
      <c r="G5" s="6"/>
      <c r="H5" s="6"/>
      <c r="I5" s="6"/>
      <c r="J5" s="6"/>
      <c r="K5" s="6"/>
      <c r="L5" s="6"/>
      <c r="M5" s="6"/>
      <c r="N5" s="9"/>
      <c r="O5" s="88"/>
      <c r="P5" s="88"/>
      <c r="Q5" s="9"/>
      <c r="R5" s="88"/>
      <c r="S5" s="82"/>
      <c r="T5" s="9"/>
      <c r="U5" s="88"/>
      <c r="V5" s="88"/>
      <c r="W5" s="88"/>
      <c r="X5" s="9"/>
      <c r="Y5" s="90"/>
      <c r="Z5" s="88"/>
      <c r="AA5" s="88"/>
      <c r="AB5" s="9"/>
      <c r="AC5" s="9"/>
      <c r="AD5" s="9"/>
      <c r="AE5" s="9"/>
    </row>
    <row r="6" spans="1:31">
      <c r="A6" s="88"/>
      <c r="B6" s="88"/>
      <c r="C6" s="88"/>
      <c r="D6" s="6"/>
      <c r="E6" s="6"/>
      <c r="F6" s="6"/>
      <c r="G6" s="6"/>
      <c r="H6" s="6"/>
      <c r="I6" s="6"/>
      <c r="J6" s="6"/>
      <c r="K6" s="6"/>
      <c r="L6" s="6"/>
      <c r="M6" s="6"/>
      <c r="N6" s="9"/>
      <c r="O6" s="88"/>
      <c r="P6" s="88"/>
      <c r="Q6" s="9"/>
      <c r="R6" s="88"/>
      <c r="S6" s="82"/>
      <c r="T6" s="9"/>
      <c r="U6" s="88"/>
      <c r="V6" s="88"/>
      <c r="W6" s="88"/>
      <c r="X6" s="9"/>
      <c r="Y6" s="89"/>
      <c r="Z6" s="88"/>
      <c r="AA6" s="88"/>
      <c r="AB6" s="9"/>
      <c r="AC6" s="9"/>
      <c r="AD6" s="9"/>
      <c r="AE6" s="9"/>
    </row>
    <row r="7" spans="1:31">
      <c r="A7" s="88"/>
      <c r="B7" s="88"/>
      <c r="C7" s="88"/>
      <c r="D7" s="6"/>
      <c r="E7" s="6"/>
      <c r="F7" s="6"/>
      <c r="G7" s="6"/>
      <c r="H7" s="6"/>
      <c r="I7" s="6"/>
      <c r="J7" s="6"/>
      <c r="K7" s="6"/>
      <c r="L7" s="6"/>
      <c r="M7" s="6"/>
      <c r="N7" s="9"/>
      <c r="O7" s="88"/>
      <c r="P7" s="88"/>
      <c r="Q7" s="9"/>
      <c r="R7" s="88"/>
      <c r="S7" s="82"/>
      <c r="T7" s="9"/>
      <c r="U7" s="88"/>
      <c r="V7" s="88"/>
      <c r="W7" s="88"/>
      <c r="X7" s="9"/>
      <c r="Y7" s="89"/>
      <c r="Z7" s="88"/>
      <c r="AA7" s="88"/>
      <c r="AB7" s="9"/>
      <c r="AC7" s="9"/>
      <c r="AD7" s="9"/>
      <c r="AE7" s="9"/>
    </row>
    <row r="8" spans="1:31">
      <c r="A8" s="88"/>
      <c r="B8" s="88"/>
      <c r="C8" s="88"/>
      <c r="D8" s="6"/>
      <c r="E8" s="6"/>
      <c r="F8" s="6"/>
      <c r="G8" s="6"/>
      <c r="H8" s="6"/>
      <c r="I8" s="6"/>
      <c r="J8" s="6"/>
      <c r="K8" s="6"/>
      <c r="L8" s="6"/>
      <c r="M8" s="6"/>
      <c r="N8" s="9"/>
      <c r="O8" s="88"/>
      <c r="P8" s="88"/>
      <c r="Q8" s="9"/>
      <c r="R8" s="81"/>
      <c r="S8" s="82"/>
      <c r="T8" s="9"/>
      <c r="U8" s="88"/>
      <c r="V8" s="88"/>
      <c r="W8" s="88"/>
      <c r="X8" s="9"/>
      <c r="Y8" s="6"/>
      <c r="Z8" s="88"/>
      <c r="AA8" s="88"/>
      <c r="AB8" s="9"/>
      <c r="AC8" s="9"/>
      <c r="AD8" s="9"/>
      <c r="AE8" s="9"/>
    </row>
    <row r="9" spans="1:31">
      <c r="A9" s="88"/>
      <c r="B9" s="88"/>
      <c r="C9" s="88"/>
      <c r="D9" s="6"/>
      <c r="E9" s="6"/>
      <c r="F9" s="6"/>
      <c r="G9" s="6"/>
      <c r="H9" s="6"/>
      <c r="I9" s="6"/>
      <c r="J9" s="6"/>
      <c r="K9" s="6"/>
      <c r="L9" s="6"/>
      <c r="M9" s="6"/>
      <c r="N9" s="9"/>
      <c r="O9" s="88"/>
      <c r="P9" s="88"/>
      <c r="Q9" s="9"/>
      <c r="R9" s="81"/>
      <c r="S9" s="82"/>
      <c r="T9" s="9"/>
      <c r="U9" s="88"/>
      <c r="V9" s="88"/>
      <c r="W9" s="88"/>
      <c r="X9" s="9"/>
      <c r="Y9" s="89"/>
      <c r="Z9" s="88"/>
      <c r="AA9" s="88"/>
      <c r="AB9" s="9"/>
      <c r="AC9" s="9"/>
      <c r="AD9" s="9"/>
      <c r="AE9" s="9"/>
    </row>
    <row r="10" spans="1:31">
      <c r="A10" s="88"/>
      <c r="B10" s="88"/>
      <c r="C10" s="88"/>
      <c r="D10" s="6"/>
      <c r="E10" s="6"/>
      <c r="F10" s="6"/>
      <c r="G10" s="6"/>
      <c r="H10" s="6"/>
      <c r="I10" s="6"/>
      <c r="J10" s="6"/>
      <c r="K10" s="6"/>
      <c r="L10" s="6"/>
      <c r="M10" s="6"/>
      <c r="N10" s="9"/>
      <c r="O10" s="88"/>
      <c r="P10" s="88"/>
      <c r="Q10" s="9"/>
      <c r="R10" s="81"/>
      <c r="S10" s="82"/>
      <c r="T10" s="9"/>
      <c r="U10" s="88"/>
      <c r="V10" s="88"/>
      <c r="W10" s="88"/>
      <c r="X10" s="9"/>
      <c r="Y10" s="89"/>
      <c r="Z10" s="88"/>
      <c r="AA10" s="88"/>
      <c r="AB10" s="9"/>
      <c r="AC10" s="9"/>
      <c r="AD10" s="9"/>
      <c r="AE10" s="9"/>
    </row>
    <row r="11" spans="1:31">
      <c r="A11" s="88"/>
      <c r="B11" s="88"/>
      <c r="C11" s="88"/>
      <c r="D11" s="6"/>
      <c r="E11" s="6"/>
      <c r="F11" s="6"/>
      <c r="G11" s="6"/>
      <c r="H11" s="6"/>
      <c r="I11" s="6"/>
      <c r="J11" s="6"/>
      <c r="K11" s="6"/>
      <c r="L11" s="6"/>
      <c r="M11" s="6"/>
      <c r="N11" s="9"/>
      <c r="O11" s="88"/>
      <c r="P11" s="88"/>
      <c r="Q11" s="9"/>
      <c r="R11" s="81"/>
      <c r="S11" s="82"/>
      <c r="T11" s="9"/>
      <c r="U11" s="9"/>
      <c r="V11" s="9"/>
      <c r="W11" s="9"/>
      <c r="X11" s="9"/>
      <c r="Y11" s="9"/>
      <c r="Z11" s="9"/>
      <c r="AA11" s="9"/>
      <c r="AB11" s="9"/>
      <c r="AC11" s="9"/>
      <c r="AD11" s="9"/>
      <c r="AE11" s="9"/>
    </row>
    <row r="12" spans="1:31">
      <c r="A12" s="88"/>
      <c r="B12" s="88"/>
      <c r="C12" s="88"/>
      <c r="D12" s="6"/>
      <c r="E12" s="6"/>
      <c r="F12" s="6"/>
      <c r="G12" s="6"/>
      <c r="H12" s="6"/>
      <c r="I12" s="6"/>
      <c r="J12" s="6"/>
      <c r="K12" s="6"/>
      <c r="L12" s="6"/>
      <c r="M12" s="6"/>
      <c r="N12" s="9"/>
      <c r="O12" s="88"/>
      <c r="P12" s="88"/>
      <c r="Q12" s="9"/>
      <c r="R12" s="81"/>
      <c r="S12" s="82"/>
      <c r="T12" s="9"/>
      <c r="U12" s="9"/>
      <c r="V12" s="9"/>
      <c r="W12" s="9"/>
      <c r="X12" s="9"/>
      <c r="Y12" s="9"/>
      <c r="Z12" s="9"/>
      <c r="AA12" s="9"/>
      <c r="AB12" s="9"/>
      <c r="AC12" s="9"/>
      <c r="AD12" s="9"/>
      <c r="AE12" s="9"/>
    </row>
    <row r="13" spans="1:31">
      <c r="A13" s="88"/>
      <c r="B13" s="88"/>
      <c r="C13" s="88"/>
      <c r="D13" s="6"/>
      <c r="E13" s="6"/>
      <c r="F13" s="6"/>
      <c r="G13" s="6"/>
      <c r="H13" s="6"/>
      <c r="I13" s="6"/>
      <c r="J13" s="6"/>
      <c r="K13" s="6"/>
      <c r="L13" s="6"/>
      <c r="M13" s="6"/>
      <c r="N13" s="9"/>
      <c r="O13" s="88"/>
      <c r="P13" s="88"/>
      <c r="Q13" s="9"/>
      <c r="R13" s="81"/>
      <c r="S13" s="82"/>
      <c r="T13" s="9"/>
      <c r="U13" s="9"/>
      <c r="V13" s="9"/>
      <c r="W13" s="9"/>
      <c r="X13" s="9"/>
      <c r="Y13" s="9"/>
      <c r="Z13" s="9"/>
      <c r="AA13" s="9"/>
      <c r="AB13" s="9"/>
      <c r="AC13" s="9"/>
      <c r="AD13" s="9"/>
      <c r="AE13" s="9"/>
    </row>
    <row r="14" spans="1:31">
      <c r="A14" s="88"/>
      <c r="B14" s="88"/>
      <c r="C14" s="88"/>
      <c r="D14" s="6"/>
      <c r="E14" s="6"/>
      <c r="F14" s="6"/>
      <c r="G14" s="6"/>
      <c r="H14" s="6"/>
      <c r="I14" s="6"/>
      <c r="J14" s="6"/>
      <c r="K14" s="6"/>
      <c r="L14" s="6"/>
      <c r="M14" s="6"/>
      <c r="N14" s="9"/>
      <c r="O14" s="88"/>
      <c r="P14" s="88"/>
      <c r="Q14" s="9"/>
      <c r="R14" s="81"/>
      <c r="S14" s="82"/>
      <c r="T14" s="9"/>
      <c r="U14" s="9"/>
      <c r="V14" s="9"/>
      <c r="W14" s="9"/>
      <c r="X14" s="9"/>
      <c r="Y14" s="9"/>
      <c r="Z14" s="9"/>
      <c r="AA14" s="9"/>
      <c r="AB14" s="9"/>
      <c r="AC14" s="9"/>
      <c r="AD14" s="9"/>
      <c r="AE14" s="9"/>
    </row>
    <row r="15" spans="1:31">
      <c r="A15" s="88"/>
      <c r="B15" s="88"/>
      <c r="C15" s="88"/>
      <c r="D15" s="6"/>
      <c r="E15" s="6"/>
      <c r="F15" s="6"/>
      <c r="G15" s="6"/>
      <c r="H15" s="6"/>
      <c r="I15" s="6"/>
      <c r="J15" s="6"/>
      <c r="K15" s="6"/>
      <c r="L15" s="6"/>
      <c r="M15" s="6"/>
      <c r="N15" s="9"/>
      <c r="O15" s="88"/>
      <c r="P15" s="88"/>
      <c r="Q15" s="9"/>
      <c r="R15" s="81"/>
      <c r="S15" s="82"/>
      <c r="T15" s="9"/>
      <c r="U15" s="9"/>
      <c r="V15" s="9"/>
      <c r="W15" s="9"/>
      <c r="X15" s="9"/>
      <c r="Y15" s="9"/>
      <c r="Z15" s="9"/>
      <c r="AA15" s="9"/>
      <c r="AB15" s="9"/>
      <c r="AC15" s="9"/>
      <c r="AD15" s="9"/>
      <c r="AE15" s="9"/>
    </row>
    <row r="16" spans="1:31">
      <c r="A16" s="88"/>
      <c r="B16" s="88"/>
      <c r="C16" s="88"/>
      <c r="D16" s="6"/>
      <c r="E16" s="6"/>
      <c r="F16" s="6"/>
      <c r="G16" s="6"/>
      <c r="H16" s="6"/>
      <c r="I16" s="6"/>
      <c r="J16" s="6"/>
      <c r="K16" s="6"/>
      <c r="L16" s="6"/>
      <c r="M16" s="6"/>
      <c r="N16" s="9"/>
      <c r="O16" s="88"/>
      <c r="P16" s="88"/>
      <c r="Q16" s="9"/>
      <c r="R16" s="81"/>
      <c r="S16" s="82"/>
      <c r="T16" s="9"/>
      <c r="U16" s="9"/>
      <c r="V16" s="9"/>
      <c r="W16" s="9"/>
      <c r="X16" s="9"/>
      <c r="Y16" s="9"/>
      <c r="Z16" s="9"/>
      <c r="AA16" s="9"/>
      <c r="AB16" s="9"/>
      <c r="AC16" s="9"/>
      <c r="AD16" s="9"/>
      <c r="AE16" s="9"/>
    </row>
    <row r="17" spans="1:31">
      <c r="A17" s="88"/>
      <c r="B17" s="88"/>
      <c r="C17" s="88"/>
      <c r="D17" s="6"/>
      <c r="E17" s="6"/>
      <c r="F17" s="6"/>
      <c r="G17" s="6"/>
      <c r="H17" s="6"/>
      <c r="I17" s="6"/>
      <c r="J17" s="6"/>
      <c r="K17" s="6"/>
      <c r="L17" s="6"/>
      <c r="M17" s="6"/>
      <c r="N17" s="9"/>
      <c r="O17" s="88"/>
      <c r="P17" s="88"/>
      <c r="Q17" s="9"/>
      <c r="R17" s="81"/>
      <c r="S17" s="82"/>
      <c r="T17" s="9"/>
      <c r="U17" s="9"/>
      <c r="V17" s="9"/>
      <c r="W17" s="9"/>
      <c r="X17" s="9"/>
      <c r="Y17" s="9"/>
      <c r="Z17" s="9"/>
      <c r="AA17" s="9"/>
      <c r="AB17" s="9"/>
      <c r="AC17" s="9"/>
      <c r="AD17" s="9"/>
      <c r="AE17" s="9"/>
    </row>
    <row r="18" spans="1:31">
      <c r="A18" s="88"/>
      <c r="B18" s="88"/>
      <c r="C18" s="88"/>
      <c r="D18" s="6"/>
      <c r="E18" s="6"/>
      <c r="F18" s="6"/>
      <c r="G18" s="6"/>
      <c r="H18" s="6"/>
      <c r="I18" s="6"/>
      <c r="J18" s="6"/>
      <c r="K18" s="6"/>
      <c r="L18" s="6"/>
      <c r="M18" s="6"/>
      <c r="N18" s="9"/>
      <c r="O18" s="88"/>
      <c r="P18" s="88"/>
      <c r="Q18" s="9"/>
      <c r="R18" s="81"/>
      <c r="S18" s="82"/>
      <c r="T18" s="9"/>
      <c r="U18" s="9"/>
      <c r="V18" s="9"/>
      <c r="W18" s="9"/>
      <c r="X18" s="9"/>
      <c r="Y18" s="9"/>
      <c r="Z18" s="9"/>
      <c r="AA18" s="9"/>
      <c r="AB18" s="9"/>
      <c r="AC18" s="9"/>
      <c r="AD18" s="9"/>
      <c r="AE18" s="9"/>
    </row>
    <row r="19" spans="1:31">
      <c r="A19" s="88"/>
      <c r="B19" s="88"/>
      <c r="C19" s="88"/>
      <c r="D19" s="6"/>
      <c r="E19" s="6"/>
      <c r="F19" s="6"/>
      <c r="G19" s="6"/>
      <c r="H19" s="6"/>
      <c r="I19" s="6"/>
      <c r="J19" s="6"/>
      <c r="K19" s="6"/>
      <c r="L19" s="6"/>
      <c r="M19" s="6"/>
      <c r="N19" s="9"/>
      <c r="O19" s="88"/>
      <c r="P19" s="88"/>
      <c r="Q19" s="9"/>
      <c r="R19" s="81"/>
      <c r="S19" s="82"/>
      <c r="T19" s="9"/>
      <c r="U19" s="9"/>
      <c r="V19" s="9"/>
      <c r="W19" s="9"/>
      <c r="X19" s="9"/>
      <c r="Y19" s="9"/>
      <c r="Z19" s="9"/>
      <c r="AA19" s="9"/>
      <c r="AB19" s="9"/>
      <c r="AC19" s="9"/>
      <c r="AD19" s="9"/>
      <c r="AE19" s="9"/>
    </row>
    <row r="20" spans="1:31">
      <c r="A20" s="88"/>
      <c r="B20" s="88"/>
      <c r="C20" s="88"/>
      <c r="D20" s="6"/>
      <c r="E20" s="6"/>
      <c r="F20" s="6"/>
      <c r="G20" s="6"/>
      <c r="H20" s="6"/>
      <c r="I20" s="6"/>
      <c r="J20" s="6"/>
      <c r="K20" s="6"/>
      <c r="L20" s="6"/>
      <c r="M20" s="6"/>
      <c r="N20" s="9"/>
      <c r="O20" s="88"/>
      <c r="P20" s="88"/>
      <c r="Q20" s="9"/>
      <c r="R20" s="81"/>
      <c r="S20" s="82"/>
      <c r="T20" s="9"/>
      <c r="U20" s="9"/>
      <c r="V20" s="9"/>
      <c r="W20" s="9"/>
      <c r="X20" s="9"/>
      <c r="Y20" s="9"/>
      <c r="Z20" s="9"/>
      <c r="AA20" s="9"/>
      <c r="AB20" s="9"/>
      <c r="AC20" s="9"/>
      <c r="AD20" s="9"/>
      <c r="AE20" s="9"/>
    </row>
    <row r="21" spans="1:31">
      <c r="A21" s="88"/>
      <c r="B21" s="88"/>
      <c r="C21" s="88"/>
      <c r="D21" s="6"/>
      <c r="E21" s="6"/>
      <c r="F21" s="6"/>
      <c r="G21" s="6"/>
      <c r="H21" s="6"/>
      <c r="I21" s="6"/>
      <c r="J21" s="6"/>
      <c r="K21" s="6"/>
      <c r="L21" s="6"/>
      <c r="M21" s="6"/>
      <c r="N21" s="9"/>
      <c r="O21" s="88"/>
      <c r="P21" s="88"/>
      <c r="Q21" s="9"/>
      <c r="R21" s="81"/>
      <c r="S21" s="82"/>
      <c r="T21" s="9"/>
      <c r="U21" s="9"/>
      <c r="V21" s="9"/>
      <c r="W21" s="9"/>
      <c r="X21" s="9"/>
      <c r="Y21" s="9"/>
      <c r="Z21" s="9"/>
      <c r="AA21" s="9"/>
      <c r="AB21" s="9"/>
      <c r="AC21" s="9"/>
      <c r="AD21" s="9"/>
      <c r="AE21" s="9"/>
    </row>
    <row r="22" spans="1:31">
      <c r="A22" s="88"/>
      <c r="B22" s="88"/>
      <c r="C22" s="88"/>
      <c r="D22" s="6"/>
      <c r="E22" s="6"/>
      <c r="F22" s="6"/>
      <c r="G22" s="6"/>
      <c r="H22" s="6"/>
      <c r="I22" s="6"/>
      <c r="J22" s="6"/>
      <c r="K22" s="6"/>
      <c r="L22" s="6"/>
      <c r="M22" s="6"/>
      <c r="N22" s="9"/>
      <c r="O22" s="88"/>
      <c r="P22" s="88"/>
      <c r="Q22" s="9"/>
      <c r="R22" s="81"/>
      <c r="S22" s="82"/>
      <c r="T22" s="9"/>
      <c r="U22" s="9"/>
      <c r="V22" s="9"/>
      <c r="W22" s="9"/>
      <c r="X22" s="9"/>
      <c r="Y22" s="9"/>
      <c r="Z22" s="9"/>
      <c r="AA22" s="9"/>
      <c r="AB22" s="9"/>
      <c r="AC22" s="9"/>
      <c r="AD22" s="9"/>
      <c r="AE22" s="9"/>
    </row>
    <row r="23" spans="1:31">
      <c r="A23" s="88"/>
      <c r="B23" s="88"/>
      <c r="C23" s="88"/>
      <c r="D23" s="6"/>
      <c r="E23" s="6"/>
      <c r="F23" s="6"/>
      <c r="G23" s="6"/>
      <c r="H23" s="6"/>
      <c r="I23" s="6"/>
      <c r="J23" s="6"/>
      <c r="K23" s="6"/>
      <c r="L23" s="6"/>
      <c r="M23" s="6"/>
      <c r="N23" s="9"/>
      <c r="O23" s="88"/>
      <c r="P23" s="88"/>
      <c r="Q23" s="9"/>
      <c r="R23" s="81"/>
      <c r="S23" s="82"/>
      <c r="T23" s="9"/>
      <c r="U23" s="9"/>
      <c r="V23" s="9"/>
      <c r="W23" s="9"/>
      <c r="X23" s="9"/>
      <c r="Y23" s="9"/>
      <c r="Z23" s="9"/>
      <c r="AA23" s="9"/>
      <c r="AB23" s="9"/>
      <c r="AC23" s="9"/>
      <c r="AD23" s="9"/>
      <c r="AE23" s="9"/>
    </row>
    <row r="24" spans="1:31">
      <c r="A24" s="88"/>
      <c r="B24" s="88"/>
      <c r="C24" s="88"/>
      <c r="D24" s="6"/>
      <c r="E24" s="6"/>
      <c r="F24" s="6"/>
      <c r="G24" s="6"/>
      <c r="H24" s="6"/>
      <c r="I24" s="6"/>
      <c r="J24" s="6"/>
      <c r="K24" s="6"/>
      <c r="L24" s="6"/>
      <c r="M24" s="6"/>
      <c r="N24" s="9"/>
      <c r="O24" s="88"/>
      <c r="P24" s="88"/>
      <c r="Q24" s="9"/>
      <c r="R24" s="81"/>
      <c r="S24" s="82"/>
      <c r="T24" s="9"/>
      <c r="U24" s="9"/>
      <c r="V24" s="9"/>
      <c r="W24" s="9"/>
      <c r="X24" s="9"/>
      <c r="Y24" s="9"/>
      <c r="Z24" s="9"/>
      <c r="AA24" s="9"/>
      <c r="AB24" s="9"/>
      <c r="AC24" s="9"/>
      <c r="AD24" s="9"/>
      <c r="AE24" s="9"/>
    </row>
    <row r="25" spans="1:31">
      <c r="A25" s="88"/>
      <c r="B25" s="88"/>
      <c r="C25" s="88"/>
      <c r="D25" s="6"/>
      <c r="E25" s="6"/>
      <c r="F25" s="6"/>
      <c r="G25" s="6"/>
      <c r="H25" s="6"/>
      <c r="I25" s="6"/>
      <c r="J25" s="6"/>
      <c r="K25" s="6"/>
      <c r="L25" s="6"/>
      <c r="M25" s="6"/>
      <c r="N25" s="9"/>
      <c r="O25" s="88"/>
      <c r="P25" s="88"/>
      <c r="Q25" s="9"/>
      <c r="R25" s="81"/>
      <c r="S25" s="82"/>
      <c r="T25" s="9"/>
      <c r="U25" s="9"/>
      <c r="V25" s="9"/>
      <c r="W25" s="9"/>
      <c r="X25" s="9"/>
      <c r="Y25" s="9"/>
      <c r="Z25" s="9"/>
      <c r="AA25" s="9"/>
      <c r="AB25" s="9"/>
      <c r="AC25" s="9"/>
      <c r="AD25" s="9"/>
      <c r="AE25" s="9"/>
    </row>
    <row r="26" spans="1:31">
      <c r="A26" s="88"/>
      <c r="B26" s="88"/>
      <c r="C26" s="88"/>
      <c r="D26" s="6"/>
      <c r="E26" s="6"/>
      <c r="F26" s="6"/>
      <c r="G26" s="6"/>
      <c r="H26" s="6"/>
      <c r="I26" s="6"/>
      <c r="J26" s="6"/>
      <c r="K26" s="6"/>
      <c r="L26" s="6"/>
      <c r="M26" s="6"/>
      <c r="N26" s="9"/>
      <c r="O26" s="88"/>
      <c r="P26" s="88"/>
      <c r="Q26" s="9"/>
      <c r="R26" s="81"/>
      <c r="S26" s="82"/>
      <c r="T26" s="9"/>
      <c r="U26" s="9"/>
      <c r="V26" s="9"/>
      <c r="W26" s="9"/>
      <c r="X26" s="9"/>
      <c r="Y26" s="9"/>
      <c r="Z26" s="9"/>
      <c r="AA26" s="9"/>
      <c r="AB26" s="9"/>
      <c r="AC26" s="9"/>
      <c r="AD26" s="9"/>
      <c r="AE26" s="9"/>
    </row>
    <row r="27" spans="1:31">
      <c r="A27" s="88"/>
      <c r="B27" s="88"/>
      <c r="C27" s="88"/>
      <c r="D27" s="6"/>
      <c r="E27" s="6"/>
      <c r="F27" s="6"/>
      <c r="G27" s="6"/>
      <c r="H27" s="6"/>
      <c r="I27" s="6"/>
      <c r="J27" s="6"/>
      <c r="K27" s="6"/>
      <c r="L27" s="6"/>
      <c r="M27" s="6"/>
      <c r="N27" s="9"/>
      <c r="O27" s="88"/>
      <c r="P27" s="88"/>
      <c r="Q27" s="9"/>
      <c r="R27" s="81"/>
      <c r="S27" s="82"/>
      <c r="T27" s="9"/>
      <c r="U27" s="9"/>
      <c r="V27" s="9"/>
      <c r="W27" s="9"/>
      <c r="X27" s="9"/>
      <c r="Y27" s="9"/>
      <c r="Z27" s="9"/>
      <c r="AA27" s="9"/>
      <c r="AB27" s="9"/>
      <c r="AC27" s="9"/>
      <c r="AD27" s="9"/>
      <c r="AE27" s="9"/>
    </row>
    <row r="28" spans="1:31">
      <c r="A28" s="88"/>
      <c r="B28" s="88"/>
      <c r="C28" s="88"/>
      <c r="D28" s="6"/>
      <c r="E28" s="6"/>
      <c r="F28" s="6"/>
      <c r="G28" s="6"/>
      <c r="H28" s="6"/>
      <c r="I28" s="6"/>
      <c r="J28" s="6"/>
      <c r="K28" s="6"/>
      <c r="L28" s="6"/>
      <c r="M28" s="6"/>
      <c r="N28" s="9"/>
      <c r="O28" s="88"/>
      <c r="P28" s="88"/>
      <c r="Q28" s="9"/>
      <c r="R28" s="81"/>
      <c r="S28" s="82"/>
      <c r="T28" s="9"/>
      <c r="U28" s="9"/>
      <c r="V28" s="9"/>
      <c r="W28" s="9"/>
      <c r="X28" s="9"/>
      <c r="Y28" s="9"/>
      <c r="Z28" s="9"/>
      <c r="AA28" s="9"/>
      <c r="AB28" s="9"/>
      <c r="AC28" s="9"/>
      <c r="AD28" s="9"/>
      <c r="AE28" s="9"/>
    </row>
    <row r="29" spans="1:31">
      <c r="A29" s="88"/>
      <c r="B29" s="88"/>
      <c r="C29" s="88"/>
      <c r="D29" s="6"/>
      <c r="E29" s="6"/>
      <c r="F29" s="6"/>
      <c r="G29" s="6"/>
      <c r="H29" s="6"/>
      <c r="I29" s="6"/>
      <c r="J29" s="6"/>
      <c r="K29" s="6"/>
      <c r="L29" s="6"/>
      <c r="M29" s="6"/>
      <c r="N29" s="9"/>
      <c r="O29" s="88"/>
      <c r="P29" s="88"/>
      <c r="Q29" s="9"/>
      <c r="R29" s="81"/>
      <c r="S29" s="82"/>
      <c r="T29" s="9"/>
      <c r="U29" s="9"/>
      <c r="V29" s="9"/>
      <c r="W29" s="9"/>
      <c r="X29" s="9"/>
      <c r="Y29" s="9"/>
      <c r="Z29" s="9"/>
      <c r="AA29" s="9"/>
      <c r="AB29" s="9"/>
      <c r="AC29" s="9"/>
      <c r="AD29" s="9"/>
      <c r="AE29" s="9"/>
    </row>
    <row r="30" spans="1:31">
      <c r="A30" s="88"/>
      <c r="B30" s="88"/>
      <c r="C30" s="88"/>
      <c r="D30" s="6"/>
      <c r="E30" s="6"/>
      <c r="F30" s="6"/>
      <c r="G30" s="6"/>
      <c r="H30" s="6"/>
      <c r="I30" s="6"/>
      <c r="J30" s="6"/>
      <c r="K30" s="6"/>
      <c r="L30" s="6"/>
      <c r="M30" s="6"/>
      <c r="N30" s="9"/>
      <c r="O30" s="88"/>
      <c r="P30" s="88"/>
      <c r="Q30" s="9"/>
      <c r="R30" s="81"/>
      <c r="S30" s="82"/>
      <c r="T30" s="9"/>
      <c r="U30" s="9"/>
      <c r="V30" s="9"/>
      <c r="W30" s="9"/>
      <c r="X30" s="9"/>
      <c r="Y30" s="9"/>
      <c r="Z30" s="9"/>
      <c r="AA30" s="9"/>
      <c r="AB30" s="9"/>
      <c r="AC30" s="9"/>
      <c r="AD30" s="9"/>
      <c r="AE30" s="9"/>
    </row>
    <row r="31" spans="1:31">
      <c r="A31" s="88"/>
      <c r="B31" s="88"/>
      <c r="C31" s="88"/>
      <c r="D31" s="6"/>
      <c r="E31" s="6"/>
      <c r="F31" s="6"/>
      <c r="G31" s="6"/>
      <c r="H31" s="6"/>
      <c r="I31" s="6"/>
      <c r="J31" s="6"/>
      <c r="K31" s="6"/>
      <c r="L31" s="6"/>
      <c r="M31" s="6"/>
      <c r="N31" s="9"/>
      <c r="O31" s="88"/>
      <c r="P31" s="88"/>
      <c r="Q31" s="9"/>
      <c r="R31" s="81"/>
      <c r="S31" s="82"/>
      <c r="T31" s="9"/>
      <c r="U31" s="9"/>
      <c r="V31" s="9"/>
      <c r="W31" s="9"/>
      <c r="X31" s="9"/>
      <c r="Y31" s="9"/>
      <c r="Z31" s="9"/>
      <c r="AA31" s="9"/>
      <c r="AB31" s="9"/>
      <c r="AC31" s="9"/>
      <c r="AD31" s="9"/>
      <c r="AE31" s="9"/>
    </row>
    <row r="32" spans="1:31">
      <c r="A32" s="88"/>
      <c r="B32" s="88"/>
      <c r="C32" s="88"/>
      <c r="D32" s="6"/>
      <c r="E32" s="6"/>
      <c r="F32" s="6"/>
      <c r="G32" s="6"/>
      <c r="H32" s="6"/>
      <c r="I32" s="6"/>
      <c r="J32" s="6"/>
      <c r="K32" s="6"/>
      <c r="L32" s="6"/>
      <c r="M32" s="6"/>
      <c r="N32" s="9"/>
      <c r="O32" s="88"/>
      <c r="P32" s="88"/>
      <c r="Q32" s="9"/>
      <c r="R32" s="81"/>
      <c r="S32" s="82"/>
      <c r="T32" s="9"/>
      <c r="U32" s="9"/>
      <c r="V32" s="9"/>
      <c r="W32" s="9"/>
      <c r="X32" s="9"/>
      <c r="Y32" s="9"/>
      <c r="Z32" s="9"/>
      <c r="AA32" s="9"/>
      <c r="AB32" s="9"/>
      <c r="AC32" s="9"/>
      <c r="AD32" s="9"/>
      <c r="AE32" s="9"/>
    </row>
    <row r="33" spans="1:31">
      <c r="A33" s="88"/>
      <c r="B33" s="88"/>
      <c r="C33" s="88"/>
      <c r="D33" s="6"/>
      <c r="E33" s="6"/>
      <c r="F33" s="6"/>
      <c r="G33" s="6"/>
      <c r="H33" s="6"/>
      <c r="I33" s="6"/>
      <c r="J33" s="6"/>
      <c r="K33" s="6"/>
      <c r="L33" s="6"/>
      <c r="M33" s="6"/>
      <c r="N33" s="9"/>
      <c r="O33" s="88"/>
      <c r="P33" s="88"/>
      <c r="Q33" s="9"/>
      <c r="R33" s="81"/>
      <c r="S33" s="82"/>
      <c r="T33" s="9"/>
      <c r="U33" s="9"/>
      <c r="V33" s="9"/>
      <c r="W33" s="9"/>
      <c r="X33" s="9"/>
      <c r="Y33" s="9"/>
      <c r="Z33" s="9"/>
      <c r="AA33" s="9"/>
      <c r="AB33" s="9"/>
      <c r="AC33" s="9"/>
      <c r="AD33" s="9"/>
      <c r="AE33" s="9"/>
    </row>
    <row r="34" spans="1:31">
      <c r="A34" s="88"/>
      <c r="B34" s="88"/>
      <c r="C34" s="88"/>
      <c r="D34" s="6"/>
      <c r="E34" s="6"/>
      <c r="F34" s="6"/>
      <c r="G34" s="6"/>
      <c r="H34" s="6"/>
      <c r="I34" s="6"/>
      <c r="J34" s="6"/>
      <c r="K34" s="6"/>
      <c r="L34" s="6"/>
      <c r="M34" s="6"/>
      <c r="N34" s="9"/>
      <c r="O34" s="88"/>
      <c r="P34" s="88"/>
      <c r="Q34" s="9"/>
      <c r="R34" s="81"/>
      <c r="S34" s="82"/>
      <c r="T34" s="9"/>
      <c r="U34" s="9"/>
      <c r="V34" s="9"/>
      <c r="W34" s="9"/>
      <c r="X34" s="9"/>
      <c r="Y34" s="9"/>
      <c r="Z34" s="9"/>
      <c r="AA34" s="9"/>
      <c r="AB34" s="9"/>
      <c r="AC34" s="9"/>
      <c r="AD34" s="9"/>
      <c r="AE34" s="9"/>
    </row>
    <row r="35" spans="1:31">
      <c r="A35" s="88"/>
      <c r="B35" s="88"/>
      <c r="C35" s="88"/>
      <c r="D35" s="6"/>
      <c r="E35" s="6"/>
      <c r="F35" s="6"/>
      <c r="G35" s="6"/>
      <c r="H35" s="6"/>
      <c r="I35" s="6"/>
      <c r="J35" s="6"/>
      <c r="K35" s="6"/>
      <c r="L35" s="6"/>
      <c r="M35" s="6"/>
      <c r="N35" s="9"/>
      <c r="O35" s="88"/>
      <c r="P35" s="88"/>
      <c r="Q35" s="9"/>
      <c r="R35" s="81"/>
      <c r="S35" s="82"/>
      <c r="T35" s="9"/>
      <c r="U35" s="9"/>
      <c r="V35" s="9"/>
      <c r="W35" s="9"/>
      <c r="X35" s="9"/>
      <c r="Y35" s="9"/>
      <c r="Z35" s="9"/>
      <c r="AA35" s="9"/>
      <c r="AB35" s="9"/>
      <c r="AC35" s="9"/>
      <c r="AD35" s="9"/>
      <c r="AE35" s="9"/>
    </row>
    <row r="36" spans="1:31">
      <c r="A36" s="88"/>
      <c r="B36" s="88"/>
      <c r="C36" s="88"/>
      <c r="D36" s="6"/>
      <c r="E36" s="6"/>
      <c r="F36" s="6"/>
      <c r="G36" s="6"/>
      <c r="H36" s="6"/>
      <c r="I36" s="6"/>
      <c r="J36" s="6"/>
      <c r="K36" s="6"/>
      <c r="L36" s="6"/>
      <c r="M36" s="6"/>
      <c r="N36" s="9"/>
      <c r="O36" s="88"/>
      <c r="P36" s="88"/>
      <c r="Q36" s="9"/>
      <c r="R36" s="81"/>
      <c r="S36" s="82"/>
      <c r="T36" s="9"/>
      <c r="U36" s="9"/>
      <c r="V36" s="9"/>
      <c r="W36" s="9"/>
      <c r="X36" s="9"/>
      <c r="Y36" s="9"/>
      <c r="Z36" s="9"/>
      <c r="AA36" s="9"/>
      <c r="AB36" s="9"/>
      <c r="AC36" s="9"/>
      <c r="AD36" s="9"/>
      <c r="AE36" s="9"/>
    </row>
    <row r="37" spans="1:31">
      <c r="A37" s="88"/>
      <c r="B37" s="88"/>
      <c r="C37" s="88"/>
      <c r="D37" s="6"/>
      <c r="E37" s="6"/>
      <c r="F37" s="6"/>
      <c r="G37" s="6"/>
      <c r="H37" s="6"/>
      <c r="I37" s="6"/>
      <c r="J37" s="6"/>
      <c r="K37" s="6"/>
      <c r="L37" s="6"/>
      <c r="M37" s="6"/>
      <c r="N37" s="9"/>
      <c r="O37" s="88"/>
      <c r="P37" s="88"/>
      <c r="Q37" s="9"/>
      <c r="R37" s="81"/>
      <c r="S37" s="82"/>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8"/>
      <c r="B39" s="88"/>
      <c r="C39" s="88"/>
      <c r="D39" s="88"/>
      <c r="E39" s="88"/>
      <c r="R39" s="6"/>
      <c r="S39" s="6"/>
    </row>
    <row r="40" spans="1:31">
      <c r="A40" s="88"/>
      <c r="B40" s="88"/>
      <c r="C40" s="88"/>
      <c r="D40" s="88"/>
      <c r="E40" s="88"/>
      <c r="R40" s="6"/>
      <c r="S40" s="6"/>
    </row>
    <row r="41" spans="1:31">
      <c r="A41" s="88"/>
      <c r="B41" s="88"/>
      <c r="C41" s="88"/>
      <c r="D41" s="88"/>
      <c r="E41" s="88"/>
      <c r="R41" s="6"/>
      <c r="S41" s="6"/>
    </row>
    <row r="42" spans="1:31">
      <c r="A42" s="88"/>
      <c r="B42" s="88"/>
      <c r="C42" s="88"/>
      <c r="D42" s="88"/>
      <c r="E42" s="88"/>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3" t="s">
        <v>80</v>
      </c>
      <c r="B1" s="64" t="s">
        <v>81</v>
      </c>
      <c r="C1" s="91" t="s">
        <v>82</v>
      </c>
      <c r="D1" s="65" t="s">
        <v>83</v>
      </c>
      <c r="E1" s="91" t="s">
        <v>84</v>
      </c>
      <c r="F1" s="63"/>
      <c r="G1" s="63"/>
      <c r="H1" s="63"/>
      <c r="I1" s="92"/>
      <c r="J1" s="92"/>
      <c r="K1" s="92"/>
      <c r="L1" s="92"/>
      <c r="M1" s="92"/>
      <c r="N1" s="92"/>
      <c r="O1" s="92"/>
      <c r="P1" s="92"/>
      <c r="Q1" s="92"/>
      <c r="R1" s="92"/>
      <c r="S1" s="92"/>
      <c r="T1" s="92"/>
      <c r="U1" s="92"/>
      <c r="V1" s="92"/>
      <c r="W1" s="92"/>
      <c r="X1" s="92"/>
      <c r="Y1" s="92"/>
      <c r="Z1" s="92"/>
    </row>
    <row r="2" spans="1:26" ht="24">
      <c r="A2" s="66" t="s">
        <v>85</v>
      </c>
      <c r="B2" s="66" t="s">
        <v>86</v>
      </c>
      <c r="C2" s="66" t="s">
        <v>87</v>
      </c>
      <c r="D2" s="66" t="s">
        <v>89</v>
      </c>
      <c r="E2" s="66" t="s">
        <v>120</v>
      </c>
      <c r="F2" s="66" t="s">
        <v>154</v>
      </c>
      <c r="G2" s="66" t="s">
        <v>155</v>
      </c>
      <c r="H2" s="66" t="s">
        <v>95</v>
      </c>
      <c r="I2" s="92"/>
      <c r="J2" s="92"/>
      <c r="K2" s="92"/>
      <c r="L2" s="92"/>
      <c r="M2" s="92"/>
      <c r="N2" s="92"/>
      <c r="O2" s="92"/>
      <c r="P2" s="92"/>
      <c r="Q2" s="92"/>
      <c r="R2" s="92"/>
      <c r="S2" s="92"/>
      <c r="T2" s="92"/>
      <c r="U2" s="92"/>
      <c r="V2" s="92"/>
      <c r="W2" s="92"/>
      <c r="X2" s="92"/>
      <c r="Y2" s="92"/>
      <c r="Z2" s="92"/>
    </row>
    <row r="3" spans="1:26">
      <c r="A3" s="66" t="s">
        <v>96</v>
      </c>
      <c r="B3" s="66" t="s">
        <v>96</v>
      </c>
      <c r="C3" s="66" t="s">
        <v>96</v>
      </c>
      <c r="D3" s="66" t="s">
        <v>96</v>
      </c>
      <c r="E3" s="66" t="s">
        <v>96</v>
      </c>
      <c r="F3" s="66" t="s">
        <v>96</v>
      </c>
      <c r="G3" s="66" t="s">
        <v>96</v>
      </c>
      <c r="H3" s="66" t="s">
        <v>1</v>
      </c>
      <c r="I3" s="92"/>
      <c r="J3" s="92"/>
      <c r="K3" s="92"/>
      <c r="L3" s="92"/>
      <c r="M3" s="92"/>
      <c r="N3" s="92"/>
      <c r="O3" s="92"/>
      <c r="P3" s="92"/>
      <c r="Q3" s="92"/>
      <c r="R3" s="92"/>
      <c r="S3" s="92"/>
      <c r="T3" s="92"/>
      <c r="U3" s="92"/>
      <c r="V3" s="92"/>
      <c r="W3" s="92"/>
      <c r="X3" s="92"/>
      <c r="Y3" s="92"/>
      <c r="Z3" s="92"/>
    </row>
    <row r="4" spans="1:26">
      <c r="A4" s="93" t="s">
        <v>8</v>
      </c>
      <c r="B4" s="93" t="s">
        <v>8</v>
      </c>
      <c r="C4" s="93" t="s">
        <v>8</v>
      </c>
      <c r="D4" s="93" t="s">
        <v>99</v>
      </c>
      <c r="E4" s="93" t="s">
        <v>156</v>
      </c>
      <c r="F4" s="93" t="s">
        <v>151</v>
      </c>
      <c r="G4" s="93" t="s">
        <v>151</v>
      </c>
      <c r="H4" s="93" t="s">
        <v>1</v>
      </c>
      <c r="I4" s="92"/>
      <c r="J4" s="92"/>
      <c r="K4" s="92"/>
      <c r="L4" s="92"/>
      <c r="M4" s="92"/>
      <c r="N4" s="92"/>
      <c r="O4" s="92"/>
      <c r="P4" s="92"/>
      <c r="Q4" s="92"/>
      <c r="R4" s="92"/>
      <c r="S4" s="92"/>
      <c r="T4" s="92"/>
      <c r="U4" s="92"/>
      <c r="V4" s="92"/>
      <c r="W4" s="92"/>
      <c r="X4" s="92"/>
      <c r="Y4" s="92"/>
      <c r="Z4" s="92"/>
    </row>
    <row r="5" spans="1:26">
      <c r="I5" s="92"/>
      <c r="J5" s="92"/>
      <c r="K5" s="92"/>
      <c r="L5" s="92"/>
      <c r="M5" s="92"/>
      <c r="N5" s="92"/>
      <c r="O5" s="92"/>
      <c r="P5" s="92"/>
      <c r="Q5" s="92"/>
      <c r="R5" s="92"/>
      <c r="S5" s="92"/>
      <c r="T5" s="92"/>
      <c r="U5" s="92"/>
      <c r="V5" s="92"/>
      <c r="W5" s="92"/>
      <c r="X5" s="92"/>
      <c r="Y5" s="92"/>
      <c r="Z5" s="92"/>
    </row>
    <row r="6" spans="1:26">
      <c r="I6" s="92"/>
      <c r="J6" s="92"/>
      <c r="K6" s="92"/>
      <c r="L6" s="92"/>
      <c r="M6" s="92"/>
      <c r="N6" s="92"/>
      <c r="O6" s="92"/>
      <c r="P6" s="92"/>
      <c r="Q6" s="92"/>
      <c r="R6" s="92"/>
      <c r="S6" s="92"/>
      <c r="T6" s="92"/>
      <c r="U6" s="92"/>
      <c r="V6" s="92"/>
      <c r="W6" s="92"/>
      <c r="X6" s="92"/>
      <c r="Y6" s="92"/>
      <c r="Z6" s="92"/>
    </row>
    <row r="7" spans="1:26">
      <c r="I7" s="92"/>
      <c r="J7" s="92"/>
      <c r="K7" s="92"/>
      <c r="L7" s="92"/>
      <c r="M7" s="92"/>
      <c r="N7" s="92"/>
      <c r="O7" s="92"/>
      <c r="P7" s="92"/>
      <c r="Q7" s="92"/>
      <c r="R7" s="92"/>
      <c r="S7" s="92"/>
      <c r="T7" s="92"/>
      <c r="U7" s="92"/>
      <c r="V7" s="92"/>
      <c r="W7" s="92"/>
      <c r="X7" s="92"/>
      <c r="Y7" s="92"/>
      <c r="Z7" s="92"/>
    </row>
    <row r="8" spans="1:26">
      <c r="I8" s="92"/>
      <c r="J8" s="92"/>
      <c r="K8" s="92"/>
      <c r="L8" s="92"/>
      <c r="M8" s="92"/>
      <c r="N8" s="92"/>
      <c r="O8" s="92"/>
      <c r="P8" s="92"/>
      <c r="Q8" s="92"/>
      <c r="R8" s="92"/>
      <c r="S8" s="92"/>
      <c r="T8" s="92"/>
      <c r="U8" s="92"/>
      <c r="V8" s="92"/>
      <c r="W8" s="92"/>
      <c r="X8" s="92"/>
      <c r="Y8" s="92"/>
      <c r="Z8" s="92"/>
    </row>
    <row r="9" spans="1:26">
      <c r="I9" s="92"/>
      <c r="J9" s="92"/>
      <c r="K9" s="92"/>
      <c r="L9" s="92"/>
      <c r="M9" s="92"/>
      <c r="N9" s="92"/>
      <c r="O9" s="92"/>
      <c r="P9" s="92"/>
      <c r="Q9" s="92"/>
      <c r="R9" s="92"/>
      <c r="S9" s="92"/>
      <c r="T9" s="92"/>
      <c r="U9" s="92"/>
      <c r="V9" s="92"/>
      <c r="W9" s="92"/>
      <c r="X9" s="92"/>
      <c r="Y9" s="92"/>
      <c r="Z9" s="92"/>
    </row>
    <row r="10" spans="1:26">
      <c r="I10" s="92"/>
      <c r="J10" s="92"/>
      <c r="K10" s="92"/>
      <c r="L10" s="92"/>
      <c r="M10" s="92"/>
      <c r="N10" s="92"/>
      <c r="O10" s="92"/>
      <c r="P10" s="92"/>
      <c r="Q10" s="92"/>
      <c r="R10" s="92"/>
      <c r="S10" s="92"/>
      <c r="T10" s="92"/>
      <c r="U10" s="92"/>
      <c r="V10" s="92"/>
      <c r="W10" s="92"/>
      <c r="X10" s="92"/>
      <c r="Y10" s="92"/>
      <c r="Z10" s="92"/>
    </row>
    <row r="11" spans="1:26">
      <c r="I11" s="92"/>
      <c r="J11" s="92"/>
      <c r="K11" s="92"/>
      <c r="L11" s="92"/>
      <c r="M11" s="92"/>
      <c r="N11" s="92"/>
      <c r="O11" s="92"/>
      <c r="P11" s="92"/>
      <c r="Q11" s="92"/>
      <c r="R11" s="92"/>
      <c r="S11" s="92"/>
      <c r="T11" s="92"/>
      <c r="U11" s="92"/>
      <c r="V11" s="92"/>
      <c r="W11" s="92"/>
      <c r="X11" s="92"/>
      <c r="Y11" s="92"/>
      <c r="Z11" s="92"/>
    </row>
    <row r="12" spans="1:26">
      <c r="I12" s="92"/>
      <c r="J12" s="92"/>
      <c r="K12" s="92"/>
      <c r="L12" s="92"/>
      <c r="M12" s="92"/>
      <c r="N12" s="92"/>
      <c r="O12" s="92"/>
      <c r="P12" s="92"/>
      <c r="Q12" s="92"/>
      <c r="R12" s="92"/>
      <c r="S12" s="92"/>
      <c r="T12" s="92"/>
      <c r="U12" s="92"/>
      <c r="V12" s="92"/>
      <c r="W12" s="92"/>
      <c r="X12" s="92"/>
      <c r="Y12" s="92"/>
      <c r="Z12" s="92"/>
    </row>
    <row r="13" spans="1:26">
      <c r="I13" s="92"/>
      <c r="J13" s="92"/>
      <c r="K13" s="92"/>
      <c r="L13" s="92"/>
      <c r="M13" s="92"/>
      <c r="N13" s="92"/>
      <c r="O13" s="92"/>
      <c r="P13" s="92"/>
      <c r="Q13" s="92"/>
      <c r="R13" s="92"/>
      <c r="S13" s="92"/>
      <c r="T13" s="92"/>
      <c r="U13" s="92"/>
      <c r="V13" s="92"/>
      <c r="W13" s="92"/>
      <c r="X13" s="92"/>
      <c r="Y13" s="92"/>
      <c r="Z13" s="92"/>
    </row>
    <row r="14" spans="1:26">
      <c r="I14" s="92"/>
      <c r="J14" s="92"/>
      <c r="K14" s="92"/>
      <c r="L14" s="92"/>
      <c r="M14" s="92"/>
      <c r="N14" s="92"/>
      <c r="O14" s="92"/>
      <c r="P14" s="92"/>
      <c r="Q14" s="92"/>
      <c r="R14" s="92"/>
      <c r="S14" s="92"/>
      <c r="T14" s="92"/>
      <c r="U14" s="92"/>
      <c r="V14" s="92"/>
      <c r="W14" s="92"/>
      <c r="X14" s="92"/>
      <c r="Y14" s="92"/>
      <c r="Z14" s="92"/>
    </row>
    <row r="15" spans="1:26">
      <c r="I15" s="92"/>
      <c r="J15" s="92"/>
      <c r="K15" s="92"/>
      <c r="L15" s="92"/>
      <c r="M15" s="92"/>
      <c r="N15" s="92"/>
      <c r="O15" s="92"/>
      <c r="P15" s="92"/>
      <c r="Q15" s="92"/>
      <c r="R15" s="92"/>
      <c r="S15" s="92"/>
      <c r="T15" s="92"/>
      <c r="U15" s="92"/>
      <c r="V15" s="92"/>
      <c r="W15" s="92"/>
      <c r="X15" s="92"/>
      <c r="Y15" s="92"/>
      <c r="Z15" s="92"/>
    </row>
    <row r="16" spans="1:26">
      <c r="I16" s="92"/>
      <c r="J16" s="92"/>
      <c r="K16" s="92"/>
      <c r="L16" s="92"/>
      <c r="M16" s="92"/>
      <c r="N16" s="92"/>
      <c r="O16" s="92"/>
      <c r="P16" s="92"/>
      <c r="Q16" s="92"/>
      <c r="R16" s="92"/>
      <c r="S16" s="92"/>
      <c r="T16" s="92"/>
      <c r="U16" s="92"/>
      <c r="V16" s="92"/>
      <c r="W16" s="92"/>
      <c r="X16" s="92"/>
      <c r="Y16" s="92"/>
      <c r="Z16" s="92"/>
    </row>
    <row r="17" spans="1:26">
      <c r="I17" s="92"/>
      <c r="J17" s="92"/>
      <c r="K17" s="92"/>
      <c r="L17" s="92"/>
      <c r="M17" s="92"/>
      <c r="N17" s="92"/>
      <c r="O17" s="92"/>
      <c r="P17" s="92"/>
      <c r="Q17" s="92"/>
      <c r="R17" s="92"/>
      <c r="S17" s="92"/>
      <c r="T17" s="92"/>
      <c r="U17" s="92"/>
      <c r="V17" s="92"/>
      <c r="W17" s="92"/>
      <c r="X17" s="92"/>
      <c r="Y17" s="92"/>
      <c r="Z17" s="92"/>
    </row>
    <row r="18" spans="1:26">
      <c r="I18" s="92"/>
      <c r="J18" s="92"/>
      <c r="K18" s="92"/>
      <c r="L18" s="92"/>
      <c r="M18" s="92"/>
      <c r="N18" s="92"/>
      <c r="O18" s="92"/>
      <c r="P18" s="92"/>
      <c r="Q18" s="92"/>
      <c r="R18" s="92"/>
      <c r="S18" s="92"/>
      <c r="T18" s="92"/>
      <c r="U18" s="92"/>
      <c r="V18" s="92"/>
      <c r="W18" s="92"/>
      <c r="X18" s="92"/>
      <c r="Y18" s="92"/>
      <c r="Z18" s="92"/>
    </row>
    <row r="19" spans="1:26">
      <c r="I19" s="92"/>
      <c r="J19" s="92"/>
      <c r="K19" s="92"/>
      <c r="L19" s="92"/>
      <c r="M19" s="92"/>
      <c r="N19" s="92"/>
      <c r="O19" s="92"/>
      <c r="P19" s="92"/>
      <c r="Q19" s="92"/>
      <c r="R19" s="92"/>
      <c r="S19" s="92"/>
      <c r="T19" s="92"/>
      <c r="U19" s="92"/>
      <c r="V19" s="92"/>
      <c r="W19" s="92"/>
      <c r="X19" s="92"/>
      <c r="Y19" s="92"/>
      <c r="Z19" s="92"/>
    </row>
    <row r="20" spans="1:26">
      <c r="I20" s="92"/>
      <c r="J20" s="92"/>
      <c r="K20" s="92"/>
      <c r="L20" s="92"/>
      <c r="M20" s="92"/>
      <c r="N20" s="92"/>
      <c r="O20" s="92"/>
      <c r="P20" s="92"/>
      <c r="Q20" s="92"/>
      <c r="R20" s="92"/>
      <c r="S20" s="92"/>
      <c r="T20" s="92"/>
      <c r="U20" s="92"/>
      <c r="V20" s="92"/>
      <c r="W20" s="92"/>
      <c r="X20" s="92"/>
      <c r="Y20" s="92"/>
      <c r="Z20" s="92"/>
    </row>
    <row r="21" spans="1:26">
      <c r="I21" s="92"/>
      <c r="J21" s="92"/>
      <c r="K21" s="92"/>
      <c r="L21" s="92"/>
      <c r="M21" s="92"/>
      <c r="N21" s="92"/>
      <c r="O21" s="92"/>
      <c r="P21" s="92"/>
      <c r="Q21" s="92"/>
      <c r="R21" s="92"/>
      <c r="S21" s="92"/>
      <c r="T21" s="92"/>
      <c r="U21" s="92"/>
      <c r="V21" s="92"/>
      <c r="W21" s="92"/>
      <c r="X21" s="92"/>
      <c r="Y21" s="92"/>
      <c r="Z21" s="92"/>
    </row>
    <row r="22" spans="1:26">
      <c r="I22" s="92"/>
      <c r="J22" s="92"/>
      <c r="K22" s="92"/>
      <c r="L22" s="92"/>
      <c r="M22" s="92"/>
      <c r="N22" s="92"/>
      <c r="O22" s="92"/>
      <c r="P22" s="92"/>
      <c r="Q22" s="92"/>
      <c r="R22" s="92"/>
      <c r="S22" s="92"/>
      <c r="T22" s="92"/>
      <c r="U22" s="92"/>
      <c r="V22" s="92"/>
      <c r="W22" s="92"/>
      <c r="X22" s="92"/>
      <c r="Y22" s="92"/>
      <c r="Z22" s="92"/>
    </row>
    <row r="23" spans="1:26">
      <c r="I23" s="92"/>
      <c r="J23" s="92"/>
      <c r="K23" s="92"/>
      <c r="L23" s="92"/>
      <c r="M23" s="92"/>
      <c r="N23" s="92"/>
      <c r="O23" s="92"/>
      <c r="P23" s="92"/>
      <c r="Q23" s="92"/>
      <c r="R23" s="92"/>
      <c r="S23" s="92"/>
      <c r="T23" s="92"/>
      <c r="U23" s="92"/>
      <c r="V23" s="92"/>
      <c r="W23" s="92"/>
      <c r="X23" s="92"/>
      <c r="Y23" s="92"/>
      <c r="Z23" s="92"/>
    </row>
    <row r="24" spans="1:26" ht="15.75">
      <c r="A24" s="69"/>
      <c r="D24" s="69"/>
      <c r="I24" s="92"/>
      <c r="J24" s="92"/>
      <c r="K24" s="92"/>
      <c r="L24" s="92"/>
      <c r="M24" s="92"/>
      <c r="N24" s="92"/>
      <c r="O24" s="92"/>
      <c r="P24" s="92"/>
      <c r="Q24" s="92"/>
      <c r="R24" s="92"/>
      <c r="S24" s="92"/>
      <c r="T24" s="92"/>
      <c r="U24" s="92"/>
      <c r="V24" s="92"/>
      <c r="W24" s="92"/>
      <c r="X24" s="92"/>
      <c r="Y24" s="92"/>
      <c r="Z24" s="92"/>
    </row>
    <row r="25" spans="1:26">
      <c r="I25" s="92"/>
      <c r="J25" s="92"/>
      <c r="K25" s="92"/>
      <c r="L25" s="92"/>
      <c r="M25" s="92"/>
      <c r="N25" s="92"/>
      <c r="O25" s="92"/>
      <c r="P25" s="92"/>
      <c r="Q25" s="92"/>
      <c r="R25" s="92"/>
      <c r="S25" s="92"/>
      <c r="T25" s="92"/>
      <c r="U25" s="92"/>
      <c r="V25" s="92"/>
      <c r="W25" s="92"/>
      <c r="X25" s="92"/>
      <c r="Y25" s="92"/>
      <c r="Z25" s="92"/>
    </row>
    <row r="26" spans="1:26">
      <c r="I26" s="92"/>
      <c r="J26" s="92"/>
      <c r="K26" s="92"/>
      <c r="L26" s="92"/>
      <c r="M26" s="92"/>
      <c r="N26" s="92"/>
      <c r="O26" s="92"/>
      <c r="P26" s="92"/>
      <c r="Q26" s="92"/>
      <c r="R26" s="92"/>
      <c r="S26" s="92"/>
      <c r="T26" s="92"/>
      <c r="U26" s="92"/>
      <c r="V26" s="92"/>
      <c r="W26" s="92"/>
      <c r="X26" s="92"/>
      <c r="Y26" s="92"/>
      <c r="Z26" s="92"/>
    </row>
    <row r="27" spans="1:26">
      <c r="I27" s="92"/>
      <c r="J27" s="92"/>
      <c r="K27" s="92"/>
      <c r="L27" s="92"/>
      <c r="M27" s="92"/>
      <c r="N27" s="92"/>
      <c r="O27" s="92"/>
      <c r="P27" s="92"/>
      <c r="Q27" s="92"/>
      <c r="R27" s="92"/>
      <c r="S27" s="92"/>
      <c r="T27" s="92"/>
      <c r="U27" s="92"/>
      <c r="V27" s="92"/>
      <c r="W27" s="92"/>
      <c r="X27" s="92"/>
      <c r="Y27" s="92"/>
      <c r="Z27" s="92"/>
    </row>
    <row r="28" spans="1:26">
      <c r="I28" s="92"/>
      <c r="J28" s="92"/>
      <c r="K28" s="92"/>
      <c r="L28" s="92"/>
      <c r="M28" s="92"/>
      <c r="N28" s="92"/>
      <c r="O28" s="92"/>
      <c r="P28" s="92"/>
      <c r="Q28" s="92"/>
      <c r="R28" s="92"/>
      <c r="S28" s="92"/>
      <c r="T28" s="92"/>
      <c r="U28" s="92"/>
      <c r="V28" s="92"/>
      <c r="W28" s="92"/>
      <c r="X28" s="92"/>
      <c r="Y28" s="92"/>
      <c r="Z28" s="92"/>
    </row>
    <row r="29" spans="1:26">
      <c r="I29" s="92"/>
      <c r="J29" s="92"/>
      <c r="K29" s="92"/>
      <c r="L29" s="92"/>
      <c r="M29" s="92"/>
      <c r="N29" s="92"/>
      <c r="O29" s="92"/>
      <c r="P29" s="92"/>
      <c r="Q29" s="92"/>
      <c r="R29" s="92"/>
      <c r="S29" s="92"/>
      <c r="T29" s="92"/>
      <c r="U29" s="92"/>
      <c r="V29" s="92"/>
      <c r="W29" s="92"/>
      <c r="X29" s="92"/>
      <c r="Y29" s="92"/>
      <c r="Z29" s="92"/>
    </row>
    <row r="30" spans="1:26">
      <c r="I30" s="92"/>
      <c r="J30" s="92"/>
      <c r="K30" s="92"/>
      <c r="L30" s="92"/>
      <c r="M30" s="92"/>
      <c r="N30" s="92"/>
      <c r="O30" s="92"/>
      <c r="P30" s="92"/>
      <c r="Q30" s="92"/>
      <c r="R30" s="92"/>
      <c r="S30" s="92"/>
      <c r="T30" s="92"/>
      <c r="U30" s="92"/>
      <c r="V30" s="92"/>
      <c r="W30" s="92"/>
      <c r="X30" s="92"/>
      <c r="Y30" s="92"/>
      <c r="Z30" s="92"/>
    </row>
    <row r="31" spans="1:26">
      <c r="I31" s="92"/>
      <c r="J31" s="92"/>
      <c r="K31" s="92"/>
      <c r="L31" s="92"/>
      <c r="M31" s="92"/>
      <c r="N31" s="92"/>
      <c r="O31" s="92"/>
      <c r="P31" s="92"/>
      <c r="Q31" s="92"/>
      <c r="R31" s="92"/>
      <c r="S31" s="92"/>
      <c r="T31" s="92"/>
      <c r="U31" s="92"/>
      <c r="V31" s="92"/>
      <c r="W31" s="92"/>
      <c r="X31" s="92"/>
      <c r="Y31" s="92"/>
      <c r="Z31" s="92"/>
    </row>
    <row r="32" spans="1:26">
      <c r="I32" s="92"/>
      <c r="J32" s="92"/>
      <c r="K32" s="92"/>
      <c r="L32" s="92"/>
      <c r="M32" s="92"/>
      <c r="N32" s="92"/>
      <c r="O32" s="92"/>
      <c r="P32" s="92"/>
      <c r="Q32" s="92"/>
      <c r="R32" s="92"/>
      <c r="S32" s="92"/>
      <c r="T32" s="92"/>
      <c r="U32" s="92"/>
      <c r="V32" s="92"/>
      <c r="W32" s="92"/>
      <c r="X32" s="92"/>
      <c r="Y32" s="92"/>
      <c r="Z32" s="92"/>
    </row>
    <row r="33" spans="1:26">
      <c r="I33" s="92"/>
      <c r="J33" s="92"/>
      <c r="K33" s="92"/>
      <c r="L33" s="92"/>
      <c r="M33" s="92"/>
      <c r="N33" s="92"/>
      <c r="O33" s="92"/>
      <c r="P33" s="92"/>
      <c r="Q33" s="92"/>
      <c r="R33" s="92"/>
      <c r="S33" s="92"/>
      <c r="T33" s="92"/>
      <c r="U33" s="92"/>
      <c r="V33" s="92"/>
      <c r="W33" s="92"/>
      <c r="X33" s="92"/>
      <c r="Y33" s="92"/>
      <c r="Z33" s="92"/>
    </row>
    <row r="34" spans="1:26">
      <c r="I34" s="92"/>
      <c r="J34" s="92"/>
      <c r="K34" s="92"/>
      <c r="L34" s="92"/>
      <c r="M34" s="92"/>
      <c r="N34" s="92"/>
      <c r="O34" s="92"/>
      <c r="P34" s="92"/>
      <c r="Q34" s="92"/>
      <c r="R34" s="92"/>
      <c r="S34" s="92"/>
      <c r="T34" s="92"/>
      <c r="U34" s="92"/>
      <c r="V34" s="92"/>
      <c r="W34" s="92"/>
      <c r="X34" s="92"/>
      <c r="Y34" s="92"/>
      <c r="Z34" s="92"/>
    </row>
    <row r="35" spans="1:26">
      <c r="I35" s="92"/>
      <c r="J35" s="92"/>
      <c r="K35" s="92"/>
      <c r="L35" s="92"/>
      <c r="M35" s="92"/>
      <c r="N35" s="92"/>
      <c r="O35" s="92"/>
      <c r="P35" s="92"/>
      <c r="Q35" s="92"/>
      <c r="R35" s="92"/>
      <c r="S35" s="92"/>
      <c r="T35" s="92"/>
      <c r="U35" s="92"/>
      <c r="V35" s="92"/>
      <c r="W35" s="92"/>
      <c r="X35" s="92"/>
      <c r="Y35" s="92"/>
      <c r="Z35" s="92"/>
    </row>
    <row r="36" spans="1:26">
      <c r="I36" s="92"/>
      <c r="J36" s="92"/>
      <c r="K36" s="92"/>
      <c r="L36" s="92"/>
      <c r="M36" s="92"/>
      <c r="N36" s="92"/>
      <c r="O36" s="92"/>
      <c r="P36" s="92"/>
      <c r="Q36" s="92"/>
      <c r="R36" s="92"/>
      <c r="S36" s="92"/>
      <c r="T36" s="92"/>
      <c r="U36" s="92"/>
      <c r="V36" s="92"/>
      <c r="W36" s="92"/>
      <c r="X36" s="92"/>
      <c r="Y36" s="92"/>
      <c r="Z36" s="92"/>
    </row>
    <row r="37" spans="1:26">
      <c r="I37" s="92"/>
      <c r="J37" s="92"/>
      <c r="K37" s="92"/>
      <c r="L37" s="92"/>
      <c r="M37" s="92"/>
      <c r="N37" s="92"/>
      <c r="O37" s="92"/>
      <c r="P37" s="92"/>
      <c r="Q37" s="92"/>
      <c r="R37" s="92"/>
      <c r="S37" s="92"/>
      <c r="T37" s="92"/>
      <c r="U37" s="92"/>
      <c r="V37" s="92"/>
      <c r="W37" s="92"/>
      <c r="X37" s="92"/>
      <c r="Y37" s="92"/>
      <c r="Z37" s="92"/>
    </row>
    <row r="38" spans="1:26">
      <c r="I38" s="92"/>
      <c r="J38" s="92"/>
      <c r="K38" s="92"/>
      <c r="L38" s="92"/>
      <c r="M38" s="92"/>
      <c r="N38" s="92"/>
      <c r="O38" s="92"/>
      <c r="P38" s="92"/>
      <c r="Q38" s="92"/>
      <c r="R38" s="92"/>
      <c r="S38" s="92"/>
      <c r="T38" s="92"/>
      <c r="U38" s="92"/>
      <c r="V38" s="92"/>
      <c r="W38" s="92"/>
      <c r="X38" s="92"/>
      <c r="Y38" s="92"/>
      <c r="Z38" s="92"/>
    </row>
    <row r="39" spans="1:26">
      <c r="I39" s="92"/>
      <c r="J39" s="92"/>
      <c r="K39" s="92"/>
      <c r="L39" s="92"/>
      <c r="M39" s="92"/>
      <c r="N39" s="92"/>
      <c r="O39" s="92"/>
      <c r="P39" s="92"/>
      <c r="Q39" s="92"/>
      <c r="R39" s="92"/>
      <c r="S39" s="92"/>
      <c r="T39" s="92"/>
      <c r="U39" s="92"/>
      <c r="V39" s="92"/>
      <c r="W39" s="92"/>
      <c r="X39" s="92"/>
      <c r="Y39" s="92"/>
      <c r="Z39" s="92"/>
    </row>
    <row r="40" spans="1:26">
      <c r="I40" s="92"/>
      <c r="J40" s="92"/>
      <c r="K40" s="92"/>
      <c r="L40" s="92"/>
      <c r="M40" s="92"/>
      <c r="N40" s="92"/>
      <c r="O40" s="92"/>
      <c r="P40" s="92"/>
      <c r="Q40" s="92"/>
      <c r="R40" s="92"/>
      <c r="S40" s="92"/>
      <c r="T40" s="92"/>
      <c r="U40" s="92"/>
      <c r="V40" s="92"/>
      <c r="W40" s="92"/>
      <c r="X40" s="92"/>
      <c r="Y40" s="92"/>
      <c r="Z40" s="92"/>
    </row>
    <row r="41" spans="1:26">
      <c r="I41" s="92"/>
      <c r="J41" s="92"/>
      <c r="K41" s="92"/>
      <c r="L41" s="92"/>
      <c r="M41" s="92"/>
      <c r="N41" s="92"/>
      <c r="O41" s="92"/>
      <c r="P41" s="92"/>
      <c r="Q41" s="92"/>
      <c r="R41" s="92"/>
      <c r="S41" s="92"/>
      <c r="T41" s="92"/>
      <c r="U41" s="92"/>
      <c r="V41" s="92"/>
      <c r="W41" s="92"/>
      <c r="X41" s="92"/>
      <c r="Y41" s="92"/>
      <c r="Z41" s="92"/>
    </row>
    <row r="42" spans="1:26">
      <c r="I42" s="92"/>
      <c r="J42" s="92"/>
      <c r="K42" s="92"/>
      <c r="L42" s="92"/>
      <c r="M42" s="92"/>
      <c r="N42" s="92"/>
      <c r="O42" s="92"/>
      <c r="P42" s="92"/>
      <c r="Q42" s="92"/>
      <c r="R42" s="92"/>
      <c r="S42" s="92"/>
      <c r="T42" s="92"/>
      <c r="U42" s="92"/>
      <c r="V42" s="92"/>
      <c r="W42" s="92"/>
      <c r="X42" s="92"/>
      <c r="Y42" s="92"/>
      <c r="Z42" s="92"/>
    </row>
    <row r="43" spans="1:26">
      <c r="I43" s="92"/>
      <c r="J43" s="92"/>
      <c r="K43" s="92"/>
      <c r="L43" s="92"/>
      <c r="M43" s="92"/>
      <c r="N43" s="92"/>
      <c r="O43" s="92"/>
      <c r="P43" s="92"/>
      <c r="Q43" s="92"/>
      <c r="R43" s="92"/>
      <c r="S43" s="92"/>
      <c r="T43" s="92"/>
      <c r="U43" s="92"/>
      <c r="V43" s="92"/>
      <c r="W43" s="92"/>
      <c r="X43" s="92"/>
      <c r="Y43" s="92"/>
      <c r="Z43" s="92"/>
    </row>
    <row r="44" spans="1:26" ht="15.75">
      <c r="A44" s="69"/>
      <c r="D44" s="69"/>
      <c r="I44" s="92"/>
      <c r="J44" s="92"/>
      <c r="K44" s="92"/>
      <c r="L44" s="92"/>
      <c r="M44" s="92"/>
      <c r="N44" s="92"/>
      <c r="O44" s="92"/>
      <c r="P44" s="92"/>
      <c r="Q44" s="92"/>
      <c r="R44" s="92"/>
      <c r="S44" s="92"/>
      <c r="T44" s="92"/>
      <c r="U44" s="92"/>
      <c r="V44" s="92"/>
      <c r="W44" s="92"/>
      <c r="X44" s="92"/>
      <c r="Y44" s="92"/>
      <c r="Z44" s="92"/>
    </row>
    <row r="45" spans="1:26" ht="15.75">
      <c r="A45" s="69"/>
      <c r="D45" s="69"/>
      <c r="I45" s="92"/>
      <c r="J45" s="92"/>
      <c r="K45" s="92"/>
      <c r="L45" s="92"/>
      <c r="M45" s="92"/>
      <c r="N45" s="92"/>
      <c r="O45" s="92"/>
      <c r="P45" s="92"/>
      <c r="Q45" s="92"/>
      <c r="R45" s="92"/>
      <c r="S45" s="92"/>
      <c r="T45" s="92"/>
      <c r="U45" s="92"/>
      <c r="V45" s="92"/>
      <c r="W45" s="92"/>
      <c r="X45" s="92"/>
      <c r="Y45" s="92"/>
      <c r="Z45" s="92"/>
    </row>
    <row r="46" spans="1:26" ht="15.75">
      <c r="A46" s="69"/>
      <c r="D46" s="69"/>
      <c r="I46" s="92"/>
      <c r="J46" s="92"/>
      <c r="K46" s="92"/>
      <c r="L46" s="92"/>
      <c r="M46" s="92"/>
      <c r="N46" s="92"/>
      <c r="O46" s="92"/>
      <c r="P46" s="92"/>
      <c r="Q46" s="92"/>
      <c r="R46" s="92"/>
      <c r="S46" s="92"/>
      <c r="T46" s="92"/>
      <c r="U46" s="92"/>
      <c r="V46" s="92"/>
      <c r="W46" s="92"/>
      <c r="X46" s="92"/>
      <c r="Y46" s="92"/>
      <c r="Z46" s="92"/>
    </row>
    <row r="47" spans="1:26" ht="15.75">
      <c r="A47" s="69"/>
      <c r="D47" s="69"/>
      <c r="I47" s="92"/>
      <c r="J47" s="92"/>
      <c r="K47" s="92"/>
      <c r="L47" s="92"/>
      <c r="M47" s="92"/>
      <c r="N47" s="92"/>
      <c r="O47" s="92"/>
      <c r="P47" s="92"/>
      <c r="Q47" s="92"/>
      <c r="R47" s="92"/>
      <c r="S47" s="92"/>
      <c r="T47" s="92"/>
      <c r="U47" s="92"/>
      <c r="V47" s="92"/>
      <c r="W47" s="92"/>
      <c r="X47" s="92"/>
      <c r="Y47" s="92"/>
      <c r="Z47" s="92"/>
    </row>
    <row r="48" spans="1:26">
      <c r="I48" s="92"/>
      <c r="J48" s="92"/>
      <c r="K48" s="92"/>
      <c r="L48" s="92"/>
      <c r="M48" s="92"/>
      <c r="N48" s="92"/>
      <c r="O48" s="92"/>
      <c r="P48" s="92"/>
      <c r="Q48" s="92"/>
      <c r="R48" s="92"/>
      <c r="S48" s="92"/>
      <c r="T48" s="92"/>
      <c r="U48" s="92"/>
      <c r="V48" s="92"/>
      <c r="W48" s="92"/>
      <c r="X48" s="92"/>
      <c r="Y48" s="92"/>
      <c r="Z48" s="92"/>
    </row>
    <row r="49" spans="1:26">
      <c r="I49" s="92"/>
      <c r="J49" s="92"/>
      <c r="K49" s="92"/>
      <c r="L49" s="92"/>
      <c r="M49" s="92"/>
      <c r="N49" s="92"/>
      <c r="O49" s="92"/>
      <c r="P49" s="92"/>
      <c r="Q49" s="92"/>
      <c r="R49" s="92"/>
      <c r="S49" s="92"/>
      <c r="T49" s="92"/>
      <c r="U49" s="92"/>
      <c r="V49" s="92"/>
      <c r="W49" s="92"/>
      <c r="X49" s="92"/>
      <c r="Y49" s="92"/>
      <c r="Z49" s="92"/>
    </row>
    <row r="50" spans="1:26">
      <c r="I50" s="92"/>
      <c r="J50" s="92"/>
      <c r="K50" s="92"/>
      <c r="L50" s="92"/>
      <c r="M50" s="92"/>
      <c r="N50" s="92"/>
      <c r="O50" s="92"/>
      <c r="P50" s="92"/>
      <c r="Q50" s="92"/>
      <c r="R50" s="92"/>
      <c r="S50" s="92"/>
      <c r="T50" s="92"/>
      <c r="U50" s="92"/>
      <c r="V50" s="92"/>
      <c r="W50" s="92"/>
      <c r="X50" s="92"/>
      <c r="Y50" s="92"/>
      <c r="Z50" s="92"/>
    </row>
    <row r="51" spans="1:26" ht="15.75">
      <c r="A51" s="69"/>
      <c r="D51" s="69"/>
      <c r="I51" s="92"/>
      <c r="J51" s="92"/>
      <c r="K51" s="92"/>
      <c r="L51" s="92"/>
      <c r="M51" s="92"/>
      <c r="N51" s="92"/>
      <c r="O51" s="92"/>
      <c r="P51" s="92"/>
      <c r="Q51" s="92"/>
      <c r="R51" s="92"/>
      <c r="S51" s="92"/>
      <c r="T51" s="92"/>
      <c r="U51" s="92"/>
      <c r="V51" s="92"/>
      <c r="W51" s="92"/>
      <c r="X51" s="92"/>
      <c r="Y51" s="92"/>
      <c r="Z51" s="92"/>
    </row>
    <row r="52" spans="1:26">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40625" defaultRowHeight="12"/>
  <cols>
    <col min="1" max="6" width="13.140625" style="94"/>
    <col min="7" max="7" width="13.140625" style="95"/>
    <col min="8" max="14" width="13.140625" style="94"/>
    <col min="15" max="15" width="13.140625" style="95"/>
    <col min="16" max="18" width="13.140625" style="94"/>
    <col min="19" max="19" width="13.140625" style="96"/>
    <col min="20" max="1023" width="13.140625" style="94"/>
  </cols>
  <sheetData>
    <row r="1" spans="1:31">
      <c r="A1" s="97" t="s">
        <v>80</v>
      </c>
      <c r="B1" s="98" t="s">
        <v>81</v>
      </c>
      <c r="C1" s="94" t="s">
        <v>82</v>
      </c>
      <c r="D1" s="98" t="s">
        <v>83</v>
      </c>
      <c r="E1" s="94" t="s">
        <v>84</v>
      </c>
      <c r="F1" s="99"/>
      <c r="G1" s="100"/>
      <c r="H1" s="99"/>
      <c r="I1" s="99"/>
      <c r="J1" s="100"/>
      <c r="K1" s="99"/>
      <c r="L1" s="99"/>
      <c r="M1" s="99"/>
      <c r="N1" s="101"/>
      <c r="O1" s="100"/>
      <c r="P1" s="99"/>
      <c r="Q1" s="99"/>
      <c r="R1" s="99"/>
      <c r="S1" s="101"/>
      <c r="T1" s="99"/>
      <c r="U1" s="102"/>
      <c r="V1" s="102"/>
      <c r="W1" s="102"/>
      <c r="X1" s="102"/>
      <c r="Y1" s="102"/>
      <c r="Z1" s="102"/>
      <c r="AA1" s="102"/>
      <c r="AB1" s="102"/>
      <c r="AC1" s="102"/>
      <c r="AD1" s="102"/>
      <c r="AE1" s="102"/>
    </row>
    <row r="2" spans="1:31" ht="18" customHeight="1">
      <c r="A2" s="103" t="s">
        <v>85</v>
      </c>
      <c r="B2" s="103" t="s">
        <v>86</v>
      </c>
      <c r="C2" s="103" t="s">
        <v>87</v>
      </c>
      <c r="D2" s="103" t="s">
        <v>157</v>
      </c>
      <c r="E2" s="103" t="s">
        <v>158</v>
      </c>
      <c r="F2" s="104" t="s">
        <v>159</v>
      </c>
      <c r="G2" s="105" t="s">
        <v>160</v>
      </c>
      <c r="H2" s="103" t="s">
        <v>161</v>
      </c>
      <c r="I2" s="103" t="s">
        <v>162</v>
      </c>
      <c r="J2" s="105" t="s">
        <v>163</v>
      </c>
      <c r="K2" s="103" t="s">
        <v>163</v>
      </c>
      <c r="L2" s="103" t="s">
        <v>163</v>
      </c>
      <c r="M2" s="103" t="s">
        <v>163</v>
      </c>
      <c r="N2" s="104" t="s">
        <v>163</v>
      </c>
      <c r="O2" s="105" t="s">
        <v>164</v>
      </c>
      <c r="P2" s="103" t="s">
        <v>164</v>
      </c>
      <c r="Q2" s="103" t="s">
        <v>164</v>
      </c>
      <c r="R2" s="103" t="s">
        <v>164</v>
      </c>
      <c r="S2" s="104" t="s">
        <v>164</v>
      </c>
      <c r="T2" s="99"/>
      <c r="U2" s="102"/>
      <c r="V2" s="102"/>
      <c r="W2" s="102"/>
      <c r="X2" s="102"/>
      <c r="Y2" s="102"/>
      <c r="Z2" s="102"/>
      <c r="AA2" s="102"/>
      <c r="AB2" s="102"/>
      <c r="AC2" s="102"/>
      <c r="AD2" s="102"/>
      <c r="AE2" s="102"/>
    </row>
    <row r="3" spans="1:31" ht="23.65" customHeight="1">
      <c r="A3" s="106" t="s">
        <v>96</v>
      </c>
      <c r="B3" s="106" t="s">
        <v>96</v>
      </c>
      <c r="C3" s="106" t="s">
        <v>96</v>
      </c>
      <c r="D3" s="106" t="s">
        <v>96</v>
      </c>
      <c r="E3" s="106" t="s">
        <v>96</v>
      </c>
      <c r="F3" s="107" t="s">
        <v>96</v>
      </c>
      <c r="G3" s="103" t="s">
        <v>96</v>
      </c>
      <c r="H3" s="103" t="s">
        <v>96</v>
      </c>
      <c r="I3" s="103" t="s">
        <v>96</v>
      </c>
      <c r="J3" s="105" t="s">
        <v>97</v>
      </c>
      <c r="K3" s="103" t="s">
        <v>165</v>
      </c>
      <c r="L3" s="108" t="s">
        <v>166</v>
      </c>
      <c r="M3" s="66" t="s">
        <v>167</v>
      </c>
      <c r="N3" s="109" t="s">
        <v>91</v>
      </c>
      <c r="O3" s="105" t="s">
        <v>97</v>
      </c>
      <c r="P3" s="103" t="s">
        <v>89</v>
      </c>
      <c r="Q3" s="108" t="s">
        <v>166</v>
      </c>
      <c r="R3" s="66" t="s">
        <v>167</v>
      </c>
      <c r="S3" s="109" t="s">
        <v>91</v>
      </c>
      <c r="T3" s="103" t="s">
        <v>114</v>
      </c>
      <c r="U3" s="102"/>
      <c r="V3" s="102"/>
      <c r="W3" s="102"/>
      <c r="X3" s="102"/>
      <c r="Y3" s="102"/>
      <c r="Z3" s="102"/>
      <c r="AA3" s="102"/>
      <c r="AB3" s="102"/>
      <c r="AC3" s="102"/>
      <c r="AD3" s="102"/>
      <c r="AE3" s="102"/>
    </row>
    <row r="4" spans="1:31">
      <c r="A4" s="110" t="s">
        <v>8</v>
      </c>
      <c r="B4" s="110" t="s">
        <v>8</v>
      </c>
      <c r="C4" s="110" t="s">
        <v>8</v>
      </c>
      <c r="D4" s="110" t="s">
        <v>1</v>
      </c>
      <c r="E4" s="111" t="s">
        <v>115</v>
      </c>
      <c r="F4" s="112" t="s">
        <v>115</v>
      </c>
      <c r="G4" s="113" t="s">
        <v>115</v>
      </c>
      <c r="H4" s="110" t="s">
        <v>115</v>
      </c>
      <c r="I4" s="110" t="s">
        <v>115</v>
      </c>
      <c r="J4" s="113" t="s">
        <v>1</v>
      </c>
      <c r="K4" s="114" t="s">
        <v>99</v>
      </c>
      <c r="L4" s="115" t="s">
        <v>100</v>
      </c>
      <c r="M4" s="68" t="s">
        <v>101</v>
      </c>
      <c r="N4" s="116" t="s">
        <v>100</v>
      </c>
      <c r="O4" s="113" t="s">
        <v>1</v>
      </c>
      <c r="P4" s="114" t="s">
        <v>99</v>
      </c>
      <c r="Q4" s="115" t="s">
        <v>100</v>
      </c>
      <c r="R4" s="68" t="s">
        <v>101</v>
      </c>
      <c r="S4" s="116" t="s">
        <v>100</v>
      </c>
      <c r="T4" s="111"/>
      <c r="U4" s="102"/>
      <c r="V4" s="102"/>
      <c r="W4" s="102"/>
      <c r="X4" s="102"/>
      <c r="Y4" s="102"/>
      <c r="Z4" s="102"/>
      <c r="AA4" s="102"/>
      <c r="AB4" s="102"/>
      <c r="AC4" s="102"/>
      <c r="AD4" s="102"/>
      <c r="AE4" s="102"/>
    </row>
    <row r="5" spans="1:31">
      <c r="J5" s="95"/>
      <c r="N5" s="96"/>
      <c r="S5" s="117"/>
      <c r="U5" s="102"/>
      <c r="V5" s="102"/>
      <c r="W5" s="102"/>
      <c r="X5" s="102"/>
      <c r="Y5" s="102"/>
      <c r="Z5" s="102"/>
      <c r="AA5" s="102"/>
      <c r="AB5" s="102"/>
      <c r="AC5" s="102"/>
      <c r="AD5" s="102"/>
      <c r="AE5" s="102"/>
    </row>
    <row r="6" spans="1:31">
      <c r="A6" s="118"/>
      <c r="B6" s="118"/>
      <c r="J6" s="95"/>
      <c r="N6" s="117"/>
      <c r="U6" s="102"/>
      <c r="V6" s="102"/>
      <c r="W6" s="102"/>
      <c r="X6" s="102"/>
      <c r="Y6" s="102"/>
      <c r="Z6" s="102"/>
      <c r="AA6" s="102"/>
      <c r="AB6" s="102"/>
      <c r="AC6" s="102"/>
      <c r="AD6" s="102"/>
      <c r="AE6" s="102"/>
    </row>
    <row r="7" spans="1:31">
      <c r="A7" s="118"/>
      <c r="D7" s="118"/>
      <c r="J7" s="119"/>
      <c r="N7" s="117"/>
      <c r="S7" s="117"/>
      <c r="U7" s="102"/>
      <c r="V7" s="102"/>
      <c r="W7" s="102"/>
      <c r="X7" s="102"/>
      <c r="Y7" s="102"/>
      <c r="Z7" s="102"/>
      <c r="AA7" s="102"/>
      <c r="AB7" s="102"/>
      <c r="AC7" s="102"/>
      <c r="AD7" s="102"/>
      <c r="AE7" s="102"/>
    </row>
    <row r="8" spans="1:31">
      <c r="A8" s="118"/>
      <c r="D8" s="118"/>
      <c r="J8" s="95"/>
      <c r="N8" s="96"/>
      <c r="U8" s="102"/>
      <c r="V8" s="102"/>
      <c r="W8" s="102"/>
      <c r="X8" s="102"/>
      <c r="Y8" s="102"/>
      <c r="Z8" s="102"/>
      <c r="AA8" s="102"/>
      <c r="AB8" s="102"/>
      <c r="AC8" s="102"/>
      <c r="AD8" s="102"/>
      <c r="AE8" s="102"/>
    </row>
    <row r="9" spans="1:31">
      <c r="J9" s="95"/>
      <c r="N9" s="96"/>
      <c r="U9" s="102"/>
      <c r="V9" s="102"/>
      <c r="W9" s="102"/>
      <c r="X9" s="102"/>
      <c r="Y9" s="102"/>
      <c r="Z9" s="102"/>
      <c r="AA9" s="102"/>
      <c r="AB9" s="102"/>
      <c r="AC9" s="102"/>
      <c r="AD9" s="102"/>
      <c r="AE9" s="102"/>
    </row>
    <row r="10" spans="1:31">
      <c r="J10" s="95"/>
      <c r="N10" s="96"/>
      <c r="U10" s="102"/>
      <c r="V10" s="102"/>
      <c r="W10" s="102"/>
      <c r="X10" s="102"/>
      <c r="Y10" s="102"/>
      <c r="Z10" s="102"/>
      <c r="AA10" s="102"/>
      <c r="AB10" s="102"/>
      <c r="AC10" s="102"/>
      <c r="AD10" s="102"/>
      <c r="AE10" s="102"/>
    </row>
    <row r="11" spans="1:31">
      <c r="J11" s="95"/>
      <c r="N11" s="96"/>
      <c r="U11" s="102"/>
      <c r="V11" s="102"/>
      <c r="W11" s="102"/>
      <c r="X11" s="102"/>
      <c r="Y11" s="102"/>
      <c r="Z11" s="102"/>
      <c r="AA11" s="102"/>
      <c r="AB11" s="102"/>
      <c r="AC11" s="102"/>
      <c r="AD11" s="102"/>
      <c r="AE11" s="102"/>
    </row>
    <row r="12" spans="1:31">
      <c r="J12" s="95"/>
      <c r="N12" s="96"/>
      <c r="U12" s="102"/>
      <c r="V12" s="102"/>
      <c r="W12" s="102"/>
      <c r="X12" s="102"/>
      <c r="Y12" s="102"/>
      <c r="Z12" s="102"/>
      <c r="AA12" s="102"/>
      <c r="AB12" s="102"/>
      <c r="AC12" s="102"/>
      <c r="AD12" s="102"/>
      <c r="AE12" s="102"/>
    </row>
    <row r="13" spans="1:31">
      <c r="J13" s="95"/>
      <c r="N13" s="96"/>
      <c r="U13" s="102"/>
      <c r="V13" s="102"/>
      <c r="W13" s="102"/>
      <c r="X13" s="102"/>
      <c r="Y13" s="102"/>
      <c r="Z13" s="102"/>
      <c r="AA13" s="102"/>
      <c r="AB13" s="102"/>
      <c r="AC13" s="102"/>
      <c r="AD13" s="102"/>
      <c r="AE13" s="102"/>
    </row>
    <row r="14" spans="1:31">
      <c r="J14" s="95"/>
      <c r="N14" s="96"/>
      <c r="U14" s="102"/>
      <c r="V14" s="102"/>
      <c r="W14" s="102"/>
      <c r="X14" s="102"/>
      <c r="Y14" s="102"/>
      <c r="Z14" s="102"/>
      <c r="AA14" s="102"/>
      <c r="AB14" s="102"/>
      <c r="AC14" s="102"/>
      <c r="AD14" s="102"/>
      <c r="AE14" s="102"/>
    </row>
    <row r="15" spans="1:31">
      <c r="J15" s="95"/>
      <c r="N15" s="96"/>
      <c r="U15" s="102"/>
      <c r="V15" s="102"/>
      <c r="W15" s="102"/>
      <c r="X15" s="102"/>
      <c r="Y15" s="102"/>
      <c r="Z15" s="102"/>
      <c r="AA15" s="102"/>
      <c r="AB15" s="102"/>
      <c r="AC15" s="102"/>
      <c r="AD15" s="102"/>
      <c r="AE15" s="102"/>
    </row>
    <row r="16" spans="1:31">
      <c r="J16" s="95"/>
      <c r="N16" s="96"/>
      <c r="U16" s="102"/>
      <c r="V16" s="102"/>
      <c r="W16" s="102"/>
      <c r="X16" s="102"/>
      <c r="Y16" s="102"/>
      <c r="Z16" s="102"/>
      <c r="AA16" s="102"/>
      <c r="AB16" s="102"/>
      <c r="AC16" s="102"/>
      <c r="AD16" s="102"/>
      <c r="AE16" s="102"/>
    </row>
    <row r="17" spans="1:31">
      <c r="J17" s="95"/>
      <c r="N17" s="96"/>
      <c r="U17" s="102"/>
      <c r="V17" s="102"/>
      <c r="W17" s="102"/>
      <c r="X17" s="102"/>
      <c r="Y17" s="102"/>
      <c r="Z17" s="102"/>
      <c r="AA17" s="102"/>
      <c r="AB17" s="102"/>
      <c r="AC17" s="102"/>
      <c r="AD17" s="102"/>
      <c r="AE17" s="102"/>
    </row>
    <row r="18" spans="1:31">
      <c r="J18" s="95"/>
      <c r="N18" s="96"/>
      <c r="U18" s="102"/>
      <c r="V18" s="102"/>
      <c r="W18" s="102"/>
      <c r="X18" s="102"/>
      <c r="Y18" s="102"/>
      <c r="Z18" s="102"/>
      <c r="AA18" s="102"/>
      <c r="AB18" s="102"/>
      <c r="AC18" s="102"/>
      <c r="AD18" s="102"/>
      <c r="AE18" s="102"/>
    </row>
    <row r="19" spans="1:31">
      <c r="A19" s="120"/>
      <c r="B19" s="121"/>
      <c r="J19" s="95"/>
      <c r="N19" s="96"/>
      <c r="U19" s="102"/>
      <c r="V19" s="102"/>
      <c r="W19" s="102"/>
      <c r="X19" s="102"/>
      <c r="Y19" s="102"/>
      <c r="Z19" s="102"/>
      <c r="AA19" s="102"/>
      <c r="AB19" s="102"/>
      <c r="AC19" s="102"/>
      <c r="AD19" s="102"/>
      <c r="AE19" s="102"/>
    </row>
    <row r="20" spans="1:31">
      <c r="A20" s="120"/>
      <c r="B20" s="121"/>
      <c r="J20" s="95"/>
      <c r="N20" s="96"/>
      <c r="U20" s="102"/>
      <c r="V20" s="102"/>
      <c r="W20" s="102"/>
      <c r="X20" s="102"/>
      <c r="Y20" s="102"/>
      <c r="Z20" s="102"/>
      <c r="AA20" s="102"/>
      <c r="AB20" s="102"/>
      <c r="AC20" s="102"/>
      <c r="AD20" s="102"/>
      <c r="AE20" s="102"/>
    </row>
    <row r="21" spans="1:31">
      <c r="A21" s="120"/>
      <c r="B21" s="121"/>
      <c r="C21" s="122"/>
      <c r="J21" s="95"/>
      <c r="N21" s="96"/>
      <c r="U21" s="102"/>
      <c r="V21" s="102"/>
      <c r="W21" s="102"/>
      <c r="X21" s="102"/>
      <c r="Y21" s="102"/>
      <c r="Z21" s="102"/>
      <c r="AA21" s="102"/>
      <c r="AB21" s="102"/>
      <c r="AC21" s="102"/>
      <c r="AD21" s="102"/>
      <c r="AE21" s="102"/>
    </row>
    <row r="22" spans="1:31">
      <c r="A22" s="120"/>
      <c r="B22" s="121"/>
      <c r="C22" s="122"/>
      <c r="J22" s="95"/>
      <c r="N22" s="96"/>
      <c r="U22" s="102"/>
      <c r="V22" s="102"/>
      <c r="W22" s="102"/>
      <c r="X22" s="102"/>
      <c r="Y22" s="102"/>
      <c r="Z22" s="102"/>
      <c r="AA22" s="102"/>
      <c r="AB22" s="102"/>
      <c r="AC22" s="102"/>
      <c r="AD22" s="102"/>
      <c r="AE22" s="102"/>
    </row>
    <row r="23" spans="1:31">
      <c r="A23" s="120"/>
      <c r="B23" s="120"/>
      <c r="C23" s="120"/>
      <c r="D23" s="120"/>
      <c r="E23" s="120"/>
      <c r="F23" s="120"/>
      <c r="G23" s="123"/>
      <c r="H23" s="120"/>
      <c r="I23" s="120"/>
      <c r="J23" s="123"/>
      <c r="K23" s="120"/>
      <c r="L23" s="120"/>
      <c r="M23" s="120"/>
      <c r="N23" s="124"/>
      <c r="O23" s="123"/>
      <c r="P23" s="120"/>
      <c r="Q23" s="120"/>
      <c r="R23" s="120"/>
      <c r="S23" s="124"/>
      <c r="T23" s="120"/>
      <c r="U23" s="102"/>
      <c r="V23" s="102"/>
      <c r="W23" s="102"/>
      <c r="X23" s="102"/>
      <c r="Y23" s="102"/>
      <c r="Z23" s="102"/>
      <c r="AA23" s="102"/>
      <c r="AB23" s="102"/>
      <c r="AC23" s="102"/>
      <c r="AD23" s="102"/>
      <c r="AE23" s="102"/>
    </row>
    <row r="24" spans="1:31">
      <c r="A24" s="120"/>
      <c r="B24" s="120"/>
      <c r="C24" s="120"/>
      <c r="D24" s="120"/>
      <c r="E24" s="120"/>
      <c r="F24" s="120"/>
      <c r="G24" s="123"/>
      <c r="H24" s="120"/>
      <c r="I24" s="120"/>
      <c r="J24" s="123"/>
      <c r="K24" s="120"/>
      <c r="L24" s="120"/>
      <c r="M24" s="120"/>
      <c r="N24" s="124"/>
      <c r="O24" s="123"/>
      <c r="P24" s="120"/>
      <c r="Q24" s="120"/>
      <c r="R24" s="120"/>
      <c r="S24" s="124"/>
      <c r="T24" s="120"/>
      <c r="U24" s="102"/>
      <c r="V24" s="102"/>
      <c r="W24" s="102"/>
      <c r="X24" s="102"/>
      <c r="Y24" s="102"/>
      <c r="Z24" s="102"/>
      <c r="AA24" s="102"/>
      <c r="AB24" s="102"/>
      <c r="AC24" s="102"/>
      <c r="AD24" s="102"/>
      <c r="AE24" s="102"/>
    </row>
    <row r="25" spans="1:31">
      <c r="A25" s="121"/>
      <c r="B25" s="121"/>
      <c r="C25" s="121"/>
      <c r="D25" s="121"/>
      <c r="E25" s="121"/>
      <c r="F25" s="121"/>
      <c r="G25" s="125"/>
      <c r="H25" s="121"/>
      <c r="I25" s="121"/>
      <c r="J25" s="125"/>
      <c r="K25" s="121"/>
      <c r="L25" s="121"/>
      <c r="M25" s="121"/>
      <c r="N25" s="126"/>
      <c r="O25" s="125"/>
      <c r="P25" s="121"/>
      <c r="Q25" s="121"/>
      <c r="R25" s="121"/>
      <c r="S25" s="126"/>
      <c r="T25" s="121"/>
      <c r="U25" s="102"/>
      <c r="V25" s="102"/>
      <c r="W25" s="102"/>
      <c r="X25" s="102"/>
      <c r="Y25" s="102"/>
      <c r="Z25" s="102"/>
      <c r="AA25" s="102"/>
      <c r="AB25" s="102"/>
      <c r="AC25" s="102"/>
      <c r="AD25" s="102"/>
      <c r="AE25" s="102"/>
    </row>
    <row r="26" spans="1:31">
      <c r="J26" s="95"/>
      <c r="N26" s="96"/>
      <c r="U26" s="102"/>
      <c r="V26" s="102"/>
      <c r="W26" s="102"/>
      <c r="X26" s="102"/>
      <c r="Y26" s="102"/>
      <c r="Z26" s="102"/>
      <c r="AA26" s="102"/>
      <c r="AB26" s="102"/>
      <c r="AC26" s="102"/>
      <c r="AD26" s="102"/>
      <c r="AE26" s="102"/>
    </row>
    <row r="27" spans="1:31">
      <c r="A27" s="120"/>
      <c r="B27" s="120"/>
      <c r="C27" s="127"/>
      <c r="E27" s="127"/>
      <c r="G27" s="128"/>
      <c r="H27" s="129"/>
      <c r="I27" s="129"/>
      <c r="J27" s="128"/>
      <c r="K27" s="129"/>
      <c r="L27" s="129"/>
      <c r="M27" s="129"/>
      <c r="N27" s="130"/>
      <c r="O27" s="128"/>
      <c r="P27" s="129"/>
      <c r="Q27" s="129"/>
      <c r="R27" s="129"/>
      <c r="S27" s="130"/>
      <c r="T27" s="129"/>
      <c r="U27" s="102"/>
      <c r="V27" s="102"/>
      <c r="W27" s="102"/>
      <c r="X27" s="102"/>
      <c r="Y27" s="102"/>
      <c r="Z27" s="102"/>
      <c r="AA27" s="102"/>
      <c r="AB27" s="102"/>
      <c r="AC27" s="102"/>
      <c r="AD27" s="102"/>
      <c r="AE27" s="102"/>
    </row>
    <row r="28" spans="1:31">
      <c r="A28" s="120"/>
      <c r="B28" s="121"/>
      <c r="C28" s="122"/>
      <c r="J28" s="95"/>
      <c r="N28" s="96"/>
      <c r="U28" s="102"/>
      <c r="V28" s="102"/>
      <c r="W28" s="102"/>
      <c r="X28" s="102"/>
      <c r="Y28" s="102"/>
      <c r="Z28" s="102"/>
      <c r="AA28" s="102"/>
      <c r="AB28" s="102"/>
      <c r="AC28" s="102"/>
      <c r="AD28" s="102"/>
      <c r="AE28" s="102"/>
    </row>
    <row r="29" spans="1:31">
      <c r="A29" s="131"/>
      <c r="B29" s="131"/>
      <c r="C29" s="131"/>
      <c r="D29" s="131"/>
      <c r="E29" s="131"/>
      <c r="F29" s="131"/>
      <c r="G29" s="132"/>
      <c r="H29" s="131"/>
      <c r="I29" s="131"/>
      <c r="J29" s="132"/>
      <c r="K29" s="131"/>
      <c r="L29" s="131"/>
      <c r="M29" s="131"/>
      <c r="N29" s="133"/>
      <c r="O29" s="132"/>
      <c r="P29" s="131"/>
      <c r="Q29" s="131"/>
      <c r="R29" s="131"/>
      <c r="S29" s="133"/>
      <c r="T29" s="131"/>
      <c r="U29" s="102"/>
      <c r="V29" s="102"/>
      <c r="W29" s="102"/>
      <c r="X29" s="102"/>
      <c r="Y29" s="102"/>
      <c r="Z29" s="102"/>
      <c r="AA29" s="102"/>
      <c r="AB29" s="102"/>
      <c r="AC29" s="102"/>
      <c r="AD29" s="102"/>
      <c r="AE29" s="102"/>
    </row>
    <row r="30" spans="1:31">
      <c r="A30" s="121"/>
      <c r="B30" s="121"/>
      <c r="C30" s="121"/>
      <c r="D30" s="121"/>
      <c r="F30" s="121"/>
      <c r="G30" s="125"/>
      <c r="H30" s="121"/>
      <c r="I30" s="121"/>
      <c r="J30" s="125"/>
      <c r="K30" s="121"/>
      <c r="L30" s="121"/>
      <c r="M30" s="121"/>
      <c r="N30" s="126"/>
      <c r="O30" s="125"/>
      <c r="P30" s="121"/>
      <c r="Q30" s="121"/>
      <c r="R30" s="121"/>
      <c r="S30" s="126"/>
      <c r="U30" s="102"/>
      <c r="V30" s="102"/>
      <c r="W30" s="102"/>
      <c r="X30" s="102"/>
      <c r="Y30" s="102"/>
      <c r="Z30" s="102"/>
      <c r="AA30" s="102"/>
      <c r="AB30" s="102"/>
      <c r="AC30" s="102"/>
      <c r="AD30" s="102"/>
      <c r="AE30" s="102"/>
    </row>
    <row r="31" spans="1:31">
      <c r="A31" s="118"/>
      <c r="B31" s="118"/>
      <c r="D31" s="118"/>
      <c r="J31" s="95"/>
      <c r="N31" s="96"/>
      <c r="U31" s="102"/>
      <c r="V31" s="102"/>
      <c r="W31" s="102"/>
      <c r="X31" s="102"/>
      <c r="Y31" s="102"/>
      <c r="Z31" s="102"/>
      <c r="AA31" s="102"/>
      <c r="AB31" s="102"/>
      <c r="AC31" s="102"/>
      <c r="AD31" s="102"/>
      <c r="AE31" s="102"/>
    </row>
    <row r="32" spans="1:31">
      <c r="A32" s="118"/>
      <c r="D32" s="118"/>
      <c r="J32" s="95"/>
      <c r="N32" s="96"/>
      <c r="U32" s="102"/>
      <c r="V32" s="102"/>
      <c r="W32" s="102"/>
      <c r="X32" s="102"/>
      <c r="Y32" s="102"/>
      <c r="Z32" s="102"/>
      <c r="AA32" s="102"/>
      <c r="AB32" s="102"/>
      <c r="AC32" s="102"/>
      <c r="AD32" s="102"/>
      <c r="AE32" s="102"/>
    </row>
    <row r="33" spans="1:31">
      <c r="A33" s="118"/>
      <c r="D33" s="118"/>
      <c r="J33" s="95"/>
      <c r="N33" s="96"/>
      <c r="U33" s="102"/>
      <c r="V33" s="102"/>
      <c r="W33" s="102"/>
      <c r="X33" s="102"/>
      <c r="Y33" s="102"/>
      <c r="Z33" s="102"/>
      <c r="AA33" s="102"/>
      <c r="AB33" s="102"/>
      <c r="AC33" s="102"/>
      <c r="AD33" s="102"/>
      <c r="AE33" s="102"/>
    </row>
    <row r="34" spans="1:31">
      <c r="A34" s="118"/>
      <c r="D34" s="118"/>
      <c r="J34" s="95"/>
      <c r="N34" s="96"/>
      <c r="U34" s="102"/>
      <c r="V34" s="102"/>
      <c r="W34" s="102"/>
      <c r="X34" s="102"/>
      <c r="Y34" s="102"/>
      <c r="Z34" s="102"/>
      <c r="AA34" s="102"/>
      <c r="AB34" s="102"/>
      <c r="AC34" s="102"/>
      <c r="AD34" s="102"/>
      <c r="AE34" s="102"/>
    </row>
    <row r="35" spans="1:31">
      <c r="J35" s="95"/>
      <c r="N35" s="96"/>
      <c r="U35" s="102"/>
      <c r="V35" s="102"/>
      <c r="W35" s="102"/>
      <c r="X35" s="102"/>
      <c r="Y35" s="102"/>
      <c r="Z35" s="102"/>
      <c r="AA35" s="102"/>
      <c r="AB35" s="102"/>
      <c r="AC35" s="102"/>
      <c r="AD35" s="102"/>
      <c r="AE35" s="102"/>
    </row>
    <row r="36" spans="1:31">
      <c r="J36" s="95"/>
      <c r="N36" s="96"/>
      <c r="U36" s="102"/>
      <c r="V36" s="102"/>
      <c r="W36" s="102"/>
      <c r="X36" s="102"/>
      <c r="Y36" s="102"/>
      <c r="Z36" s="102"/>
      <c r="AA36" s="102"/>
      <c r="AB36" s="102"/>
      <c r="AC36" s="102"/>
      <c r="AD36" s="102"/>
      <c r="AE36" s="102"/>
    </row>
    <row r="37" spans="1:31">
      <c r="J37" s="95"/>
      <c r="N37" s="96"/>
      <c r="U37" s="102"/>
      <c r="V37" s="102"/>
      <c r="W37" s="102"/>
      <c r="X37" s="102"/>
      <c r="Y37" s="102"/>
      <c r="Z37" s="102"/>
      <c r="AA37" s="102"/>
      <c r="AB37" s="102"/>
      <c r="AC37" s="102"/>
      <c r="AD37" s="102"/>
      <c r="AE37" s="102"/>
    </row>
    <row r="38" spans="1:31">
      <c r="J38" s="95"/>
      <c r="N38" s="96"/>
      <c r="U38" s="102"/>
      <c r="V38" s="102"/>
      <c r="W38" s="102"/>
      <c r="X38" s="102"/>
      <c r="Y38" s="102"/>
      <c r="Z38" s="102"/>
      <c r="AA38" s="102"/>
      <c r="AB38" s="102"/>
      <c r="AC38" s="102"/>
      <c r="AD38" s="102"/>
      <c r="AE38" s="102"/>
    </row>
    <row r="39" spans="1:31">
      <c r="J39" s="95"/>
      <c r="N39" s="96"/>
      <c r="U39" s="102"/>
      <c r="V39" s="102"/>
      <c r="W39" s="102"/>
      <c r="X39" s="102"/>
      <c r="Y39" s="102"/>
      <c r="Z39" s="102"/>
      <c r="AA39" s="102"/>
      <c r="AB39" s="102"/>
      <c r="AC39" s="102"/>
      <c r="AD39" s="102"/>
      <c r="AE39" s="102"/>
    </row>
    <row r="40" spans="1:31">
      <c r="J40" s="95"/>
      <c r="N40" s="96"/>
      <c r="U40" s="102"/>
      <c r="V40" s="102"/>
      <c r="W40" s="102"/>
      <c r="X40" s="102"/>
      <c r="Y40" s="102"/>
      <c r="Z40" s="102"/>
      <c r="AA40" s="102"/>
      <c r="AB40" s="102"/>
      <c r="AC40" s="102"/>
      <c r="AD40" s="102"/>
      <c r="AE40" s="102"/>
    </row>
    <row r="41" spans="1:31">
      <c r="J41" s="95"/>
      <c r="N41" s="96"/>
      <c r="U41" s="102"/>
      <c r="V41" s="102"/>
      <c r="W41" s="102"/>
      <c r="X41" s="102"/>
      <c r="Y41" s="102"/>
      <c r="Z41" s="102"/>
      <c r="AA41" s="102"/>
      <c r="AB41" s="102"/>
      <c r="AC41" s="102"/>
      <c r="AD41" s="102"/>
      <c r="AE41" s="102"/>
    </row>
    <row r="42" spans="1:31">
      <c r="J42" s="95"/>
      <c r="N42" s="96"/>
      <c r="U42" s="102"/>
      <c r="V42" s="102"/>
      <c r="W42" s="102"/>
      <c r="X42" s="102"/>
      <c r="Y42" s="102"/>
      <c r="Z42" s="102"/>
      <c r="AA42" s="102"/>
      <c r="AB42" s="102"/>
      <c r="AC42" s="102"/>
      <c r="AD42" s="102"/>
      <c r="AE42" s="102"/>
    </row>
    <row r="43" spans="1:31">
      <c r="J43" s="95"/>
      <c r="N43" s="96"/>
      <c r="U43" s="102"/>
      <c r="V43" s="102"/>
      <c r="W43" s="102"/>
      <c r="X43" s="102"/>
      <c r="Y43" s="102"/>
      <c r="Z43" s="102"/>
      <c r="AA43" s="102"/>
      <c r="AB43" s="102"/>
      <c r="AC43" s="102"/>
      <c r="AD43" s="102"/>
      <c r="AE43" s="102"/>
    </row>
    <row r="44" spans="1:31">
      <c r="J44" s="95"/>
      <c r="N44" s="96"/>
      <c r="U44" s="102"/>
      <c r="V44" s="102"/>
      <c r="W44" s="102"/>
      <c r="X44" s="102"/>
      <c r="Y44" s="102"/>
      <c r="Z44" s="102"/>
      <c r="AA44" s="102"/>
      <c r="AB44" s="102"/>
      <c r="AC44" s="102"/>
      <c r="AD44" s="102"/>
      <c r="AE44" s="102"/>
    </row>
    <row r="45" spans="1:31">
      <c r="A45" s="120"/>
      <c r="B45" s="121"/>
      <c r="J45" s="95"/>
      <c r="N45" s="96"/>
      <c r="U45" s="102"/>
      <c r="V45" s="102"/>
      <c r="W45" s="102"/>
      <c r="X45" s="102"/>
      <c r="Y45" s="102"/>
      <c r="Z45" s="102"/>
      <c r="AA45" s="102"/>
      <c r="AB45" s="102"/>
      <c r="AC45" s="102"/>
      <c r="AD45" s="102"/>
      <c r="AE45" s="102"/>
    </row>
    <row r="46" spans="1:31">
      <c r="A46" s="120"/>
      <c r="B46" s="121"/>
      <c r="J46" s="95"/>
      <c r="N46" s="96"/>
      <c r="U46" s="102"/>
      <c r="V46" s="102"/>
      <c r="W46" s="102"/>
      <c r="X46" s="102"/>
      <c r="Y46" s="102"/>
      <c r="Z46" s="102"/>
      <c r="AA46" s="102"/>
      <c r="AB46" s="102"/>
      <c r="AC46" s="102"/>
      <c r="AD46" s="102"/>
      <c r="AE46" s="102"/>
    </row>
    <row r="47" spans="1:31">
      <c r="A47" s="120"/>
      <c r="B47" s="121"/>
      <c r="C47" s="122"/>
      <c r="J47" s="95"/>
      <c r="N47" s="96"/>
      <c r="U47" s="102"/>
      <c r="V47" s="102"/>
      <c r="W47" s="102"/>
      <c r="X47" s="102"/>
      <c r="Y47" s="102"/>
      <c r="Z47" s="102"/>
      <c r="AA47" s="102"/>
      <c r="AB47" s="102"/>
      <c r="AC47" s="102"/>
      <c r="AD47" s="102"/>
      <c r="AE47" s="102"/>
    </row>
    <row r="48" spans="1:31">
      <c r="A48" s="120"/>
      <c r="B48" s="121"/>
      <c r="C48" s="122"/>
      <c r="J48" s="95"/>
      <c r="N48" s="96"/>
      <c r="U48" s="102"/>
      <c r="V48" s="102"/>
      <c r="W48" s="102"/>
      <c r="X48" s="102"/>
      <c r="Y48" s="102"/>
      <c r="Z48" s="102"/>
      <c r="AA48" s="102"/>
      <c r="AB48" s="102"/>
      <c r="AC48" s="102"/>
      <c r="AD48" s="102"/>
      <c r="AE48" s="102"/>
    </row>
    <row r="49" spans="1:31">
      <c r="A49" s="121"/>
      <c r="B49" s="121"/>
      <c r="C49" s="121"/>
      <c r="D49" s="121"/>
      <c r="E49" s="121"/>
      <c r="F49" s="121"/>
      <c r="G49" s="125"/>
      <c r="H49" s="121"/>
      <c r="I49" s="121"/>
      <c r="J49" s="125"/>
      <c r="K49" s="121"/>
      <c r="L49" s="121"/>
      <c r="M49" s="121"/>
      <c r="N49" s="126"/>
      <c r="O49" s="125"/>
      <c r="P49" s="121"/>
      <c r="Q49" s="121"/>
      <c r="R49" s="121"/>
      <c r="S49" s="126"/>
      <c r="T49" s="121"/>
      <c r="U49" s="102"/>
      <c r="V49" s="102"/>
      <c r="W49" s="102"/>
      <c r="X49" s="102"/>
      <c r="Y49" s="102"/>
      <c r="Z49" s="102"/>
      <c r="AA49" s="102"/>
      <c r="AB49" s="102"/>
      <c r="AC49" s="102"/>
      <c r="AD49" s="102"/>
      <c r="AE49" s="102"/>
    </row>
    <row r="50" spans="1:31">
      <c r="A50" s="102"/>
      <c r="B50" s="102"/>
      <c r="C50" s="102"/>
      <c r="D50" s="102"/>
      <c r="E50" s="102"/>
      <c r="F50" s="102"/>
      <c r="G50" s="134"/>
      <c r="H50" s="102"/>
      <c r="I50" s="102"/>
      <c r="J50" s="134"/>
      <c r="K50" s="102"/>
      <c r="L50" s="102"/>
      <c r="M50" s="102"/>
      <c r="N50" s="135"/>
      <c r="O50" s="134"/>
      <c r="P50" s="102"/>
      <c r="Q50" s="102"/>
      <c r="R50" s="102"/>
      <c r="S50" s="135"/>
      <c r="T50" s="102"/>
      <c r="U50" s="102"/>
      <c r="V50" s="102"/>
      <c r="W50" s="102"/>
      <c r="X50" s="102"/>
      <c r="Y50" s="102"/>
      <c r="Z50" s="102"/>
      <c r="AA50" s="102"/>
      <c r="AB50" s="102"/>
      <c r="AC50" s="102"/>
      <c r="AD50" s="102"/>
      <c r="AE50" s="102"/>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6" t="s">
        <v>168</v>
      </c>
      <c r="B1" s="136" t="s">
        <v>169</v>
      </c>
      <c r="C1" s="136" t="s">
        <v>170</v>
      </c>
      <c r="D1" s="136" t="s">
        <v>171</v>
      </c>
      <c r="E1" s="136" t="s">
        <v>172</v>
      </c>
      <c r="F1" s="136" t="s">
        <v>173</v>
      </c>
      <c r="G1" s="136" t="s">
        <v>174</v>
      </c>
      <c r="H1" s="136" t="s">
        <v>175</v>
      </c>
      <c r="I1" s="165" t="s">
        <v>176</v>
      </c>
      <c r="J1" s="165"/>
      <c r="K1" s="165"/>
      <c r="L1" s="165"/>
      <c r="M1" s="136"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7" t="s">
        <v>210</v>
      </c>
    </row>
    <row r="5" spans="1:13">
      <c r="A5" t="s">
        <v>211</v>
      </c>
      <c r="B5" t="s">
        <v>201</v>
      </c>
      <c r="C5" t="s">
        <v>46</v>
      </c>
      <c r="D5" t="s">
        <v>212</v>
      </c>
      <c r="E5" t="s">
        <v>50</v>
      </c>
      <c r="F5" t="s">
        <v>213</v>
      </c>
      <c r="G5" t="s">
        <v>214</v>
      </c>
      <c r="H5" t="s">
        <v>215</v>
      </c>
      <c r="I5" t="s">
        <v>216</v>
      </c>
      <c r="J5" t="s">
        <v>217</v>
      </c>
      <c r="M5" s="137" t="s">
        <v>218</v>
      </c>
    </row>
    <row r="6" spans="1:13">
      <c r="A6" t="s">
        <v>219</v>
      </c>
      <c r="B6" t="s">
        <v>220</v>
      </c>
      <c r="C6" t="s">
        <v>221</v>
      </c>
      <c r="D6" t="s">
        <v>222</v>
      </c>
      <c r="E6" t="s">
        <v>223</v>
      </c>
      <c r="F6" t="s">
        <v>224</v>
      </c>
      <c r="G6" t="s">
        <v>225</v>
      </c>
      <c r="H6" t="s">
        <v>226</v>
      </c>
      <c r="I6" t="s">
        <v>227</v>
      </c>
      <c r="J6" t="s">
        <v>228</v>
      </c>
      <c r="M6" s="137" t="s">
        <v>229</v>
      </c>
    </row>
    <row r="7" spans="1:13">
      <c r="A7" t="s">
        <v>230</v>
      </c>
      <c r="B7" t="s">
        <v>231</v>
      </c>
      <c r="D7" t="s">
        <v>232</v>
      </c>
      <c r="F7" t="s">
        <v>233</v>
      </c>
      <c r="G7" t="s">
        <v>234</v>
      </c>
      <c r="H7" t="s">
        <v>235</v>
      </c>
      <c r="M7" s="137" t="s">
        <v>236</v>
      </c>
    </row>
    <row r="8" spans="1:13">
      <c r="A8" t="s">
        <v>237</v>
      </c>
      <c r="B8" t="s">
        <v>238</v>
      </c>
      <c r="D8" t="s">
        <v>239</v>
      </c>
      <c r="F8" t="s">
        <v>240</v>
      </c>
      <c r="G8" t="s">
        <v>241</v>
      </c>
      <c r="H8" t="s">
        <v>242</v>
      </c>
      <c r="M8" s="137" t="s">
        <v>243</v>
      </c>
    </row>
    <row r="9" spans="1:13">
      <c r="A9" t="s">
        <v>244</v>
      </c>
      <c r="B9" t="s">
        <v>245</v>
      </c>
      <c r="D9" t="s">
        <v>246</v>
      </c>
      <c r="F9" t="s">
        <v>247</v>
      </c>
      <c r="G9" t="s">
        <v>248</v>
      </c>
      <c r="H9" t="s">
        <v>249</v>
      </c>
      <c r="M9" s="137" t="s">
        <v>250</v>
      </c>
    </row>
    <row r="10" spans="1:13">
      <c r="A10" t="s">
        <v>251</v>
      </c>
      <c r="B10" t="s">
        <v>252</v>
      </c>
      <c r="D10" t="s">
        <v>253</v>
      </c>
      <c r="F10" t="s">
        <v>254</v>
      </c>
      <c r="H10" t="s">
        <v>255</v>
      </c>
      <c r="M10" s="137" t="s">
        <v>256</v>
      </c>
    </row>
    <row r="11" spans="1:13">
      <c r="A11" t="s">
        <v>257</v>
      </c>
      <c r="B11" t="s">
        <v>258</v>
      </c>
      <c r="F11" t="s">
        <v>259</v>
      </c>
      <c r="H11" t="s">
        <v>260</v>
      </c>
      <c r="M11" s="137" t="s">
        <v>261</v>
      </c>
    </row>
    <row r="12" spans="1:13">
      <c r="A12" t="s">
        <v>262</v>
      </c>
      <c r="B12" t="s">
        <v>263</v>
      </c>
      <c r="F12" t="s">
        <v>264</v>
      </c>
      <c r="H12" t="s">
        <v>265</v>
      </c>
      <c r="M12" s="137" t="s">
        <v>266</v>
      </c>
    </row>
    <row r="13" spans="1:13">
      <c r="A13" t="s">
        <v>267</v>
      </c>
      <c r="B13" t="s">
        <v>268</v>
      </c>
      <c r="F13" t="s">
        <v>269</v>
      </c>
      <c r="H13" t="s">
        <v>270</v>
      </c>
    </row>
    <row r="14" spans="1:13" ht="15">
      <c r="A14" s="138" t="s">
        <v>3</v>
      </c>
      <c r="B14" t="s">
        <v>271</v>
      </c>
      <c r="F14" t="s">
        <v>272</v>
      </c>
    </row>
    <row r="15" spans="1:13" ht="15">
      <c r="A15" s="138" t="s">
        <v>273</v>
      </c>
      <c r="B15" t="s">
        <v>274</v>
      </c>
      <c r="F15" t="s">
        <v>275</v>
      </c>
    </row>
    <row r="16" spans="1:13" ht="15">
      <c r="A16" s="138" t="s">
        <v>276</v>
      </c>
      <c r="B16" t="s">
        <v>277</v>
      </c>
      <c r="F16" t="s">
        <v>278</v>
      </c>
    </row>
    <row r="17" spans="1:6">
      <c r="A17" t="s">
        <v>279</v>
      </c>
      <c r="B17" t="s">
        <v>280</v>
      </c>
      <c r="F17" t="s">
        <v>281</v>
      </c>
    </row>
    <row r="18" spans="1:6">
      <c r="A18" t="s">
        <v>282</v>
      </c>
      <c r="B18" t="s">
        <v>283</v>
      </c>
      <c r="F18" t="s">
        <v>284</v>
      </c>
    </row>
    <row r="19" spans="1:6">
      <c r="A19" t="s">
        <v>285</v>
      </c>
      <c r="B19" t="s">
        <v>286</v>
      </c>
      <c r="D19" s="139"/>
      <c r="E19" s="139"/>
      <c r="F19" t="s">
        <v>287</v>
      </c>
    </row>
    <row r="20" spans="1:6">
      <c r="A20" t="s">
        <v>288</v>
      </c>
      <c r="B20" t="s">
        <v>289</v>
      </c>
      <c r="D20" s="139"/>
      <c r="E20" s="139"/>
    </row>
    <row r="21" spans="1:6">
      <c r="A21" t="s">
        <v>290</v>
      </c>
      <c r="B21" t="s">
        <v>224</v>
      </c>
      <c r="D21" s="139"/>
      <c r="E21" s="139"/>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2026-02-24T18:41:37Z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