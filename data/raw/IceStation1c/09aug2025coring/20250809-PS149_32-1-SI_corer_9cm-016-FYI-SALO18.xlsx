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1c\09aug2025coring\"/>
    </mc:Choice>
  </mc:AlternateContent>
  <xr:revisionPtr revIDLastSave="0" documentId="13_ncr:1_{8A167967-EA7E-46FF-9B1B-698194EFE404}" xr6:coauthVersionLast="47" xr6:coauthVersionMax="47" xr10:uidLastSave="{00000000-0000-0000-0000-000000000000}"/>
  <bookViews>
    <workbookView xWindow="-108" yWindow="-108" windowWidth="23256" windowHeight="12456" tabRatio="726" activeTab="2"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7" i="3" l="1"/>
  <c r="C16" i="3"/>
  <c r="C15" i="3"/>
  <c r="C14" i="3"/>
  <c r="C13" i="3"/>
  <c r="C12" i="3"/>
  <c r="C11" i="3"/>
  <c r="C10" i="3"/>
  <c r="C9" i="3"/>
  <c r="C8" i="3"/>
  <c r="C7" i="3"/>
  <c r="C6" i="3"/>
  <c r="C5" i="3"/>
</calcChain>
</file>

<file path=xl/sharedStrings.xml><?xml version="1.0" encoding="utf-8"?>
<sst xmlns="http://schemas.openxmlformats.org/spreadsheetml/2006/main" count="694" uniqueCount="349">
  <si>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</si>
  <si>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</si>
  <si>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</si>
  <si>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</si>
  <si>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</si>
  <si>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</si>
  <si>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</si>
  <si>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</si>
  <si>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</si>
  <si>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</si>
  <si>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</si>
  <si>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</si>
  <si>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</si>
  <si>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</si>
  <si>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</si>
  <si>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</si>
  <si>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</si>
  <si>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</si>
  <si>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</si>
  <si>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</si>
  <si>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</si>
  <si>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</si>
  <si>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</si>
  <si>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</si>
  <si>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</si>
  <si>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</si>
  <si>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</si>
  <si>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</si>
  <si>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</si>
  <si>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</si>
  <si>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</si>
  <si>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</si>
  <si>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</si>
  <si>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</si>
  <si>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</si>
  <si>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</si>
  <si>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</si>
  <si>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</si>
  <si>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</si>
  <si>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</si>
  <si>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</si>
  <si>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</si>
  <si>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</si>
  <si>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</si>
  <si>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</si>
  <si>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</si>
  <si>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</si>
  <si>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</si>
  <si>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</si>
  <si>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</si>
  <si>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</si>
  <si>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</si>
  <si>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</si>
  <si>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</si>
  <si>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</si>
  <si>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</si>
  <si>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</si>
  <si>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</si>
  <si>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</si>
  <si>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</si>
  <si>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</si>
  <si>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</si>
  <si>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</si>
  <si>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</si>
  <si>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</si>
  <si>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</si>
  <si>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</si>
  <si>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</si>
  <si>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</si>
  <si>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</si>
  <si>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</si>
  <si>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</si>
  <si>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</si>
  <si>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</si>
  <si>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</si>
  <si>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</si>
  <si>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</si>
  <si>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</si>
  <si>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</si>
  <si>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</si>
  <si>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</si>
  <si>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</si>
  <si>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</si>
  <si>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</si>
  <si>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</si>
  <si>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</si>
  <si>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</si>
  <si>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</si>
  <si>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</si>
  <si>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</si>
  <si>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</si>
  <si>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</si>
  <si>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</si>
  <si>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</si>
  <si>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</si>
  <si>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</si>
  <si>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</si>
  <si>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</si>
  <si>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</si>
  <si>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</si>
  <si>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</si>
  <si>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</si>
  <si>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</si>
  <si>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</si>
  <si>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</si>
  <si>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</si>
  <si>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</si>
  <si>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</si>
  <si>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</si>
  <si>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</si>
  <si>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</si>
  <si>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</si>
  <si>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</si>
  <si>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</si>
  <si>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</si>
  <si>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</si>
  <si>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</si>
  <si>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</si>
  <si>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</si>
  <si>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</si>
  <si>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</si>
  <si>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</si>
  <si>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</si>
  <si>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</si>
  <si>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</si>
  <si>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</si>
  <si>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</si>
  <si>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</si>
  <si>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</si>
  <si>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</si>
  <si>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</si>
  <si>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</si>
  <si>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</si>
  <si>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</si>
  <si>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</si>
  <si>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</si>
  <si>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</si>
  <si>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</si>
  <si>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</si>
  <si>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</si>
  <si>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</si>
  <si>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</si>
  <si>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</si>
  <si>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</si>
  <si>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</si>
  <si>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</si>
  <si>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</si>
  <si>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</si>
  <si>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</si>
  <si>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</si>
  <si>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</si>
  <si>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</si>
  <si>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</si>
  <si>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</si>
  <si>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</si>
  <si>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</si>
  <si>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</si>
  <si>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</si>
  <si>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</si>
  <si>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</si>
  <si>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</si>
  <si>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</si>
  <si>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</si>
  <si>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</si>
  <si>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</si>
  <si>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</si>
  <si>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</si>
  <si>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</si>
  <si>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</si>
  <si>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</si>
  <si>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</si>
  <si>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</si>
  <si>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</si>
  <si>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</si>
  <si>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</si>
  <si>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</si>
  <si>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</si>
  <si>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</si>
  <si>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</si>
  <si>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</si>
  <si>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</si>
  <si>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</si>
  <si>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</si>
  <si>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</si>
  <si>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</si>
  <si>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</si>
  <si>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</si>
  <si>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</si>
  <si>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</si>
  <si>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</si>
  <si>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</si>
  <si>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</si>
  <si>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</si>
  <si>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</si>
  <si>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</si>
  <si>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</si>
  <si>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</si>
  <si>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</si>
  <si>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</si>
  <si>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</si>
  <si>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</si>
  <si>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</si>
  <si>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</si>
  <si>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</si>
  <si>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</si>
  <si>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</si>
  <si>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</si>
  <si>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</si>
  <si>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</si>
  <si>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</si>
  <si>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</si>
  <si>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</si>
  <si>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</si>
  <si>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</si>
  <si>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</si>
  <si>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</si>
  <si>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</si>
  <si>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</si>
  <si>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</si>
  <si>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</si>
  <si>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</si>
  <si>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</si>
  <si>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</si>
  <si>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</si>
  <si>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</si>
  <si>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</si>
  <si>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</si>
  <si>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</si>
  <si>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</si>
  <si>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</si>
  <si>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</si>
  <si>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</si>
  <si>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</si>
  <si>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</si>
  <si>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</si>
  <si>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</si>
  <si>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</si>
  <si>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</si>
  <si>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</si>
  <si>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</si>
  <si>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</si>
  <si>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</si>
  <si>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</si>
  <si>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</si>
  <si>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</si>
  <si>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</si>
  <si>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</si>
  <si>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</si>
  <si>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</si>
  <si>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</si>
  <si>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</si>
  <si>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</si>
  <si>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</si>
  <si>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</si>
  <si>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</si>
  <si>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</si>
  <si>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</si>
  <si>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</si>
  <si>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</si>
  <si>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</si>
  <si>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</si>
  <si>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</si>
  <si>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</si>
  <si>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</si>
  <si>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</si>
  <si>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</si>
  <si>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</si>
  <si>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</si>
  <si>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</si>
  <si>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</si>
  <si>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</si>
  <si>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</si>
  <si>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</si>
  <si>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</si>
  <si>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</si>
  <si>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</si>
  <si>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</si>
  <si>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</si>
  <si>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</si>
  <si>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</si>
  <si>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</si>
  <si>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</si>
  <si>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</si>
  <si>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</si>
  <si>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</si>
  <si>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</si>
  <si>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</si>
  <si>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</si>
  <si>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</si>
  <si>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</si>
  <si>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</si>
  <si>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</si>
  <si>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</si>
  <si>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</si>
  <si>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</si>
  <si>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</si>
  <si>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</si>
  <si>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</si>
  <si>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</si>
  <si>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</si>
  <si>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</si>
  <si>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</si>
  <si>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</si>
  <si>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David Clemens-Seewal</t>
  </si>
  <si>
    <t>Lena Eggers and ECO group</t>
  </si>
  <si>
    <t>Keigo Takahashi</t>
  </si>
  <si>
    <t>FYI main coring site</t>
  </si>
  <si>
    <t>corehole</t>
  </si>
  <si>
    <t>Salinity probe</t>
  </si>
  <si>
    <t xml:space="preserve">Cond 3110 S/N 11440477; the same as the one used for other SALO18 cores of the PS149. </t>
  </si>
  <si>
    <t>20250809-PS149_32-1-SI_corer_9cm-016-FYI-SALO18</t>
  </si>
  <si>
    <t>cut onsite for melting and analysis. There is some variability/slope in underice surface due to melt progression. Core bottom slanted. This may explain such a discrepancy with corehole measurements.</t>
  </si>
  <si>
    <t>PS149-1c</t>
  </si>
  <si>
    <t>20250908-PS149_32-1-SI_corer_9cm-016-FYI-SALO18</t>
  </si>
  <si>
    <t>20250908-PS149_32-1-SI_corer_9cm-017-FYI-T</t>
  </si>
  <si>
    <t>20250908-PS149_32-1-SI_corer_9cm-018-FYI-REP</t>
  </si>
  <si>
    <t>20250908-PS149_32-1-SI_corer_9cm-019-FYI-RHO</t>
  </si>
  <si>
    <t>start mark 339</t>
  </si>
  <si>
    <t>end mark 340</t>
  </si>
  <si>
    <t>scatter layer</t>
  </si>
  <si>
    <t xml:space="preserve">FYI ice Station 1c (event 32-1), coring on the main coring site level ice representative for the area. Note that the floe is different but the thickness of level ice was found to be representative for the melt progression of floe 1 (a and b) .   </t>
  </si>
  <si>
    <t>X1</t>
  </si>
  <si>
    <t>X2</t>
  </si>
  <si>
    <t>X3</t>
  </si>
  <si>
    <t>X4</t>
  </si>
  <si>
    <t>X5</t>
  </si>
  <si>
    <t>X6</t>
  </si>
  <si>
    <t>X7</t>
  </si>
  <si>
    <t>X8</t>
  </si>
  <si>
    <t>X9</t>
  </si>
  <si>
    <t>X10</t>
  </si>
  <si>
    <t>X11</t>
  </si>
  <si>
    <t>X12</t>
  </si>
  <si>
    <t>X13</t>
  </si>
  <si>
    <t>section 1</t>
  </si>
  <si>
    <t>PS149-DO18-172</t>
  </si>
  <si>
    <t>PS149-DO18-173</t>
  </si>
  <si>
    <t>PS149-DO18-174</t>
  </si>
  <si>
    <t>PS149-DO18-175</t>
  </si>
  <si>
    <t>PS149-DO18-176</t>
  </si>
  <si>
    <t>PS149-DO18-177</t>
  </si>
  <si>
    <t>PS149-DO18-178</t>
  </si>
  <si>
    <t>PS149-DO18-179</t>
  </si>
  <si>
    <t>PS149-DO18-180</t>
  </si>
  <si>
    <t>PS149-DO18-181</t>
  </si>
  <si>
    <t>PS149-DO18-182</t>
  </si>
  <si>
    <t>PS149-DO18-183</t>
  </si>
  <si>
    <t>PS149-DO18-184</t>
  </si>
  <si>
    <t xml:space="preserve">ordering for DO18 samples correct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</si>
</sst>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St 1b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SALO18!$C$5:$C$28</c:f>
              <c:numCache>
                <c:formatCode>0.00</c:formatCode>
                <c:ptCount val="24"/>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0.53499999999999992</c:v>
                </c:pt>
                <c:pt idx="11">
                  <c:v>0.59499999999999997</c:v>
                </c:pt>
                <c:pt idx="12">
                  <c:v>0.64500000000000002</c:v>
                </c:pt>
              </c:numCache>
            </c:numRef>
          </c:xVal>
          <c:yVal>
            <c:numRef>
              <c:f>SALO18!$E$5:$E$28</c:f>
              <c:numCache>
                <c:formatCode>General</c:formatCode>
                <c:ptCount val="24"/>
                <c:pt idx="0">
                  <c:v>1.5</c:v>
                </c:pt>
                <c:pt idx="1">
                  <c:v>1.5</c:v>
                </c:pt>
                <c:pt idx="2">
                  <c:v>1.2</c:v>
                </c:pt>
                <c:pt idx="3">
                  <c:v>0.8</c:v>
                </c:pt>
                <c:pt idx="4">
                  <c:v>1.3</c:v>
                </c:pt>
                <c:pt idx="5">
                  <c:v>1.8</c:v>
                </c:pt>
                <c:pt idx="6">
                  <c:v>2.4</c:v>
                </c:pt>
                <c:pt idx="7">
                  <c:v>2.5</c:v>
                </c:pt>
                <c:pt idx="8">
                  <c:v>3.2</c:v>
                </c:pt>
                <c:pt idx="9">
                  <c:v>3</c:v>
                </c:pt>
                <c:pt idx="10">
                  <c:v>3.8</c:v>
                </c:pt>
                <c:pt idx="11">
                  <c:v>3.3</c:v>
                </c:pt>
                <c:pt idx="12">
                  <c:v>3.2</c:v>
                </c:pt>
              </c:numCache>
            </c:numRef>
          </c:yVal>
          <c:smooth val="1"/>
          <c:extLst>
            <c:ext xmlns:c16="http://schemas.microsoft.com/office/drawing/2014/chart" uri="{C3380CC4-5D6E-409C-BE32-E72D297353CC}">
              <c16:uniqueId val="{00000000-C80A-484B-9FC9-3CFA63C775CD}"/>
            </c:ext>
          </c:extLst>
        </c:ser>
        <c:dLbls>
          <c:showLegendKey val="0"/>
          <c:showVal val="0"/>
          <c:showCatName val="0"/>
          <c:showSerName val="0"/>
          <c:showPercent val="0"/>
          <c:showBubbleSize val="0"/>
        </c:dLbls>
        <c:axId val="1486665199"/>
        <c:axId val="1486694959"/>
      </c:scatterChart>
      <c:valAx>
        <c:axId val="14866651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6694959"/>
        <c:crosses val="autoZero"/>
        <c:crossBetween val="midCat"/>
      </c:valAx>
      <c:valAx>
        <c:axId val="148669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6665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53787</xdr:colOff>
      <xdr:row>5</xdr:row>
      <xdr:rowOff>26895</xdr:rowOff>
    </xdr:from>
    <xdr:to>
      <xdr:col>23</xdr:col>
      <xdr:colOff>44823</xdr:colOff>
      <xdr:row>20</xdr:row>
      <xdr:rowOff>80683</xdr:rowOff>
    </xdr:to>
    <xdr:graphicFrame macro="">
      <xdr:nvGraphicFramePr>
        <xdr:cNvPr id="2" name="Chart 1">
          <a:extLst>
            <a:ext uri="{FF2B5EF4-FFF2-40B4-BE49-F238E27FC236}">
              <a16:creationId xmlns:a16="http://schemas.microsoft.com/office/drawing/2014/main" id="{41571968-EE6D-ED48-08F1-465B60756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G19" sqref="G19"/>
    </sheetView>
  </sheetViews>
  <sheetFormatPr defaultColWidth="13.625" defaultRowHeight="13.8"/>
  <cols>
    <col min="1" max="2" width="13.625" style="6"/>
    <col min="3" max="3" width="14.625" style="6" bestFit="1" customWidth="1"/>
    <col min="4" max="1025" width="13.625" style="6"/>
  </cols>
  <sheetData>
    <row r="1" spans="1:6">
      <c r="A1" s="7" t="s">
        <v>0</v>
      </c>
      <c r="B1" s="8" t="s">
        <v>1</v>
      </c>
      <c r="C1" s="143" t="s">
        <v>310</v>
      </c>
      <c r="D1" s="143"/>
      <c r="E1" s="143"/>
      <c r="F1" s="9"/>
    </row>
    <row r="2" spans="1:6" ht="14.4">
      <c r="A2" s="7" t="s">
        <v>2</v>
      </c>
      <c r="B2" s="8"/>
      <c r="C2" s="10">
        <v>45878</v>
      </c>
      <c r="D2" s="11" t="s">
        <v>3</v>
      </c>
      <c r="E2" s="9"/>
      <c r="F2" s="9"/>
    </row>
    <row r="3" spans="1:6" ht="14.4">
      <c r="A3" s="7" t="s">
        <v>4</v>
      </c>
      <c r="B3" s="8"/>
      <c r="C3" s="12">
        <v>0.65763888888888888</v>
      </c>
      <c r="D3" s="11" t="s">
        <v>3</v>
      </c>
      <c r="E3" s="9"/>
      <c r="F3" s="9"/>
    </row>
    <row r="4" spans="1:6">
      <c r="A4" s="13" t="s">
        <v>5</v>
      </c>
      <c r="B4" s="14" t="s">
        <v>1</v>
      </c>
      <c r="C4" s="143" t="s">
        <v>311</v>
      </c>
      <c r="D4" s="143"/>
      <c r="E4" s="143"/>
      <c r="F4" s="9"/>
    </row>
    <row r="5" spans="1:6">
      <c r="A5" s="9"/>
      <c r="B5" s="9"/>
      <c r="C5" s="9"/>
      <c r="D5" s="9"/>
      <c r="E5" s="9"/>
      <c r="F5" s="9"/>
    </row>
    <row r="6" spans="1:6">
      <c r="A6" s="15" t="s">
        <v>6</v>
      </c>
      <c r="B6" s="9"/>
      <c r="C6" s="9"/>
      <c r="D6" s="9"/>
      <c r="E6" s="9"/>
      <c r="F6" s="9"/>
    </row>
    <row r="7" spans="1:6" ht="14.4">
      <c r="A7" s="7" t="s">
        <v>7</v>
      </c>
      <c r="B7" s="8" t="s">
        <v>8</v>
      </c>
      <c r="C7" s="16">
        <v>0.66</v>
      </c>
      <c r="D7" s="17" t="s">
        <v>9</v>
      </c>
      <c r="E7" s="9"/>
      <c r="F7" s="9"/>
    </row>
    <row r="8" spans="1:6" ht="14.4">
      <c r="A8" s="7" t="s">
        <v>10</v>
      </c>
      <c r="B8" s="8" t="s">
        <v>8</v>
      </c>
      <c r="C8" s="16">
        <v>0.6</v>
      </c>
      <c r="D8" s="17" t="s">
        <v>9</v>
      </c>
      <c r="E8" s="9"/>
      <c r="F8" s="9"/>
    </row>
    <row r="9" spans="1:6">
      <c r="A9" s="7" t="s">
        <v>11</v>
      </c>
      <c r="B9" s="8" t="s">
        <v>8</v>
      </c>
      <c r="C9" s="18"/>
      <c r="D9" s="9"/>
      <c r="E9" s="9"/>
      <c r="F9" s="9"/>
    </row>
    <row r="10" spans="1:6">
      <c r="A10" s="7" t="s">
        <v>12</v>
      </c>
      <c r="B10" s="8" t="s">
        <v>8</v>
      </c>
      <c r="C10" s="16">
        <v>0.67</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3" t="s">
        <v>299</v>
      </c>
      <c r="D13" s="143"/>
      <c r="E13" s="143"/>
      <c r="F13" s="143"/>
    </row>
    <row r="14" spans="1:6">
      <c r="B14" s="6" t="s">
        <v>301</v>
      </c>
      <c r="C14" s="6" t="s">
        <v>302</v>
      </c>
      <c r="D14" s="5"/>
      <c r="E14" s="5"/>
      <c r="F14" s="5"/>
    </row>
    <row r="15" spans="1:6">
      <c r="B15" s="6" t="s">
        <v>308</v>
      </c>
      <c r="C15" s="6" t="s">
        <v>309</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24" zoomScale="85" zoomScaleNormal="85" workbookViewId="0">
      <selection activeCell="A42" sqref="A42:F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306</v>
      </c>
      <c r="D4" s="150"/>
      <c r="E4" s="150"/>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13.7201</v>
      </c>
      <c r="E8" s="31"/>
      <c r="F8">
        <v>83</v>
      </c>
      <c r="G8" s="30">
        <v>13.7598</v>
      </c>
      <c r="H8" s="32"/>
      <c r="I8" s="22"/>
      <c r="J8" s="22"/>
      <c r="K8" s="22"/>
      <c r="L8" s="22"/>
      <c r="M8" s="22"/>
      <c r="N8" s="22"/>
      <c r="O8" s="22"/>
      <c r="P8" s="22"/>
      <c r="Q8" s="22"/>
      <c r="R8" s="22"/>
      <c r="S8" s="22"/>
      <c r="T8" s="22"/>
      <c r="U8" s="22"/>
      <c r="V8" s="22"/>
      <c r="W8" s="22"/>
      <c r="X8" s="22"/>
      <c r="Y8" s="22"/>
    </row>
    <row r="9" spans="1:25" ht="12.75" customHeight="1">
      <c r="A9" s="25" t="s">
        <v>30</v>
      </c>
      <c r="B9" s="33" t="s">
        <v>31</v>
      </c>
      <c r="C9">
        <v>33</v>
      </c>
      <c r="D9" s="34">
        <v>44.047699999999999</v>
      </c>
      <c r="E9" s="35"/>
      <c r="F9">
        <v>33</v>
      </c>
      <c r="G9" s="34">
        <v>43.643700000000003</v>
      </c>
      <c r="I9" s="22" t="s">
        <v>317</v>
      </c>
      <c r="J9" s="22" t="s">
        <v>318</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45878</v>
      </c>
      <c r="D12" s="38">
        <v>45878</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0.65763888888888888</v>
      </c>
      <c r="D13" s="39">
        <v>0.69652777777777775</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1.4999999999999999E-2</v>
      </c>
      <c r="D16">
        <v>1.4999999999999999E-2</v>
      </c>
      <c r="E16">
        <v>1.4999999999999999E-2</v>
      </c>
      <c r="F16">
        <v>0.02</v>
      </c>
      <c r="I16" s="22" t="s">
        <v>319</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1.4</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-1.6</v>
      </c>
      <c r="G28" s="22" t="s">
        <v>307</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312</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313</v>
      </c>
      <c r="D31" s="52" t="s">
        <v>314</v>
      </c>
      <c r="E31" s="52" t="s">
        <v>315</v>
      </c>
      <c r="F31" s="52" t="s">
        <v>316</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300</v>
      </c>
      <c r="E32" t="s">
        <v>303</v>
      </c>
      <c r="F32" t="s">
        <v>305</v>
      </c>
      <c r="G32" t="s">
        <v>304</v>
      </c>
      <c r="H32" s="22"/>
      <c r="I32" s="22"/>
      <c r="J32" s="22"/>
      <c r="K32" s="22"/>
      <c r="L32" s="22"/>
      <c r="M32" s="22"/>
      <c r="N32" s="22"/>
      <c r="O32" s="22"/>
      <c r="P32" s="22"/>
      <c r="Q32" s="22"/>
      <c r="R32" s="22"/>
      <c r="S32" s="22"/>
      <c r="T32" s="22"/>
      <c r="U32" s="22"/>
      <c r="V32" s="22"/>
      <c r="W32" s="22"/>
      <c r="X32" s="22"/>
      <c r="Y32" s="22"/>
    </row>
    <row r="33" spans="1:25" ht="12">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171</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210</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320</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tabSelected="1" zoomScale="85" zoomScaleNormal="85" workbookViewId="0">
      <selection activeCell="N10" sqref="N10"/>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142" t="s">
        <v>321</v>
      </c>
      <c r="E5" s="62">
        <v>1.5</v>
      </c>
      <c r="F5" s="6">
        <v>2.84</v>
      </c>
      <c r="G5" s="6">
        <v>20.9</v>
      </c>
      <c r="I5" s="6" t="s">
        <v>335</v>
      </c>
      <c r="K5" s="6" t="s">
        <v>335</v>
      </c>
      <c r="O5" s="9"/>
      <c r="P5" s="9"/>
      <c r="Q5" s="9"/>
      <c r="R5" s="9"/>
      <c r="S5" s="9"/>
      <c r="T5" s="9"/>
      <c r="U5" s="9"/>
      <c r="V5" s="9"/>
      <c r="W5" s="9"/>
      <c r="X5" s="9"/>
      <c r="Y5" s="9"/>
      <c r="Z5" s="9"/>
      <c r="AA5" s="9"/>
      <c r="AB5" s="9"/>
    </row>
    <row r="6" spans="1:1024">
      <c r="A6" s="141">
        <v>0.05</v>
      </c>
      <c r="B6" s="142">
        <v>0.1</v>
      </c>
      <c r="C6" s="142">
        <f t="shared" ref="C6:C17" si="0">AVERAGE(A6:B6)</f>
        <v>7.5000000000000011E-2</v>
      </c>
      <c r="D6" s="142" t="s">
        <v>322</v>
      </c>
      <c r="E6" s="62">
        <v>1.5</v>
      </c>
      <c r="F6" s="6">
        <v>2.93</v>
      </c>
      <c r="G6" s="6">
        <v>20.399999999999999</v>
      </c>
      <c r="I6" s="6" t="s">
        <v>336</v>
      </c>
      <c r="K6" s="6" t="s">
        <v>336</v>
      </c>
      <c r="O6" s="9"/>
      <c r="P6" s="9"/>
      <c r="Q6" s="9"/>
      <c r="R6" s="9"/>
      <c r="S6" s="9"/>
      <c r="T6" s="9"/>
      <c r="U6" s="9"/>
      <c r="V6" s="9"/>
      <c r="W6" s="9"/>
      <c r="X6" s="9"/>
      <c r="Y6" s="9"/>
      <c r="Z6" s="9"/>
      <c r="AA6" s="9"/>
      <c r="AB6" s="9"/>
    </row>
    <row r="7" spans="1:1024">
      <c r="A7" s="141">
        <v>0.1</v>
      </c>
      <c r="B7" s="141">
        <v>0.15</v>
      </c>
      <c r="C7" s="142">
        <f t="shared" si="0"/>
        <v>0.125</v>
      </c>
      <c r="D7" s="142" t="s">
        <v>323</v>
      </c>
      <c r="E7" s="62">
        <v>1.2</v>
      </c>
      <c r="F7" s="6">
        <v>2.4500000000000002</v>
      </c>
      <c r="G7" s="6">
        <v>20.9</v>
      </c>
      <c r="I7" s="6" t="s">
        <v>337</v>
      </c>
      <c r="K7" s="6" t="s">
        <v>337</v>
      </c>
      <c r="O7" s="9"/>
      <c r="P7" s="9"/>
      <c r="Q7" s="9"/>
      <c r="R7" s="9"/>
      <c r="S7" s="9"/>
      <c r="T7" s="9"/>
      <c r="U7" s="9"/>
      <c r="V7" s="9"/>
      <c r="W7" s="9"/>
      <c r="X7" s="9"/>
      <c r="Y7" s="9"/>
      <c r="Z7" s="9"/>
      <c r="AA7" s="9"/>
      <c r="AB7" s="9"/>
    </row>
    <row r="8" spans="1:1024">
      <c r="A8" s="141">
        <v>0.15</v>
      </c>
      <c r="B8" s="142">
        <v>0.2</v>
      </c>
      <c r="C8" s="142">
        <f t="shared" si="0"/>
        <v>0.17499999999999999</v>
      </c>
      <c r="D8" s="142" t="s">
        <v>324</v>
      </c>
      <c r="E8" s="62">
        <v>0.8</v>
      </c>
      <c r="F8" s="6">
        <v>1.746</v>
      </c>
      <c r="G8" s="6">
        <v>20.399999999999999</v>
      </c>
      <c r="I8" s="6" t="s">
        <v>338</v>
      </c>
      <c r="K8" s="6" t="s">
        <v>338</v>
      </c>
      <c r="O8" s="9"/>
      <c r="P8" s="9"/>
      <c r="Q8" s="9"/>
      <c r="R8" s="9"/>
      <c r="S8" s="9"/>
      <c r="T8" s="9"/>
      <c r="U8" s="9"/>
      <c r="V8" s="9"/>
      <c r="W8" s="9"/>
      <c r="X8" s="9"/>
      <c r="Y8" s="9"/>
      <c r="Z8" s="9"/>
      <c r="AA8" s="9"/>
      <c r="AB8" s="9"/>
    </row>
    <row r="9" spans="1:1024">
      <c r="A9" s="141">
        <v>0.2</v>
      </c>
      <c r="B9" s="141">
        <v>0.25</v>
      </c>
      <c r="C9" s="142">
        <f t="shared" si="0"/>
        <v>0.22500000000000001</v>
      </c>
      <c r="D9" s="142" t="s">
        <v>325</v>
      </c>
      <c r="E9" s="62">
        <v>1.3</v>
      </c>
      <c r="F9" s="6">
        <v>2.5099999999999998</v>
      </c>
      <c r="G9" s="6">
        <v>21</v>
      </c>
      <c r="I9" s="6" t="s">
        <v>340</v>
      </c>
      <c r="K9" s="6" t="s">
        <v>340</v>
      </c>
      <c r="N9" s="6" t="s">
        <v>348</v>
      </c>
      <c r="O9" s="9"/>
      <c r="P9" s="9"/>
      <c r="Q9" s="9"/>
      <c r="R9" s="9"/>
      <c r="S9" s="9"/>
      <c r="T9" s="9"/>
      <c r="U9" s="9"/>
      <c r="V9" s="9"/>
      <c r="W9" s="9"/>
      <c r="X9" s="9"/>
      <c r="Y9" s="9"/>
      <c r="Z9" s="9"/>
      <c r="AA9" s="9"/>
      <c r="AB9" s="9"/>
    </row>
    <row r="10" spans="1:1024">
      <c r="A10" s="141">
        <v>0.25</v>
      </c>
      <c r="B10" s="142">
        <v>0.3</v>
      </c>
      <c r="C10" s="142">
        <f t="shared" si="0"/>
        <v>0.27500000000000002</v>
      </c>
      <c r="D10" s="142" t="s">
        <v>326</v>
      </c>
      <c r="E10" s="62">
        <v>1.8</v>
      </c>
      <c r="F10" s="6">
        <v>3.39</v>
      </c>
      <c r="G10" s="6">
        <v>20.6</v>
      </c>
      <c r="I10" s="6" t="s">
        <v>339</v>
      </c>
      <c r="K10" s="6" t="s">
        <v>339</v>
      </c>
      <c r="N10" s="6" t="s">
        <v>348</v>
      </c>
      <c r="O10" s="9"/>
      <c r="P10" s="9"/>
      <c r="Q10" s="9"/>
      <c r="R10" s="9"/>
      <c r="S10" s="9"/>
      <c r="T10" s="9"/>
      <c r="U10" s="9"/>
      <c r="V10" s="9"/>
      <c r="W10" s="9"/>
      <c r="X10" s="9"/>
      <c r="Y10" s="9"/>
      <c r="Z10" s="9"/>
      <c r="AA10" s="9"/>
      <c r="AB10" s="9"/>
    </row>
    <row r="11" spans="1:1024">
      <c r="A11" s="141">
        <v>0.3</v>
      </c>
      <c r="B11" s="141">
        <v>0.35</v>
      </c>
      <c r="C11" s="142">
        <f t="shared" si="0"/>
        <v>0.32499999999999996</v>
      </c>
      <c r="D11" s="142" t="s">
        <v>327</v>
      </c>
      <c r="E11" s="62">
        <v>2.4</v>
      </c>
      <c r="F11" s="6">
        <v>4.49</v>
      </c>
      <c r="G11" s="6">
        <v>20.8</v>
      </c>
      <c r="I11" s="6" t="s">
        <v>341</v>
      </c>
      <c r="K11" s="6" t="s">
        <v>341</v>
      </c>
      <c r="O11" s="9"/>
      <c r="P11" s="9"/>
      <c r="Q11" s="9"/>
      <c r="R11" s="9"/>
      <c r="S11" s="9"/>
      <c r="T11" s="9"/>
      <c r="U11" s="9"/>
      <c r="V11" s="9"/>
      <c r="W11" s="9"/>
      <c r="X11" s="9"/>
      <c r="Y11" s="9"/>
      <c r="Z11" s="9"/>
      <c r="AA11" s="9"/>
      <c r="AB11" s="9"/>
    </row>
    <row r="12" spans="1:1024">
      <c r="A12" s="141">
        <v>0.35</v>
      </c>
      <c r="B12" s="142">
        <v>0.4</v>
      </c>
      <c r="C12" s="142">
        <f t="shared" si="0"/>
        <v>0.375</v>
      </c>
      <c r="D12" s="142" t="s">
        <v>328</v>
      </c>
      <c r="E12" s="62">
        <v>2.5</v>
      </c>
      <c r="F12" s="6">
        <v>4.66</v>
      </c>
      <c r="G12" s="6">
        <v>20.6</v>
      </c>
      <c r="I12" s="6" t="s">
        <v>342</v>
      </c>
      <c r="K12" s="6" t="s">
        <v>342</v>
      </c>
      <c r="O12" s="9"/>
      <c r="P12" s="9"/>
      <c r="Q12" s="9"/>
      <c r="R12" s="9"/>
      <c r="S12" s="9"/>
      <c r="T12" s="9"/>
      <c r="U12" s="9"/>
      <c r="V12" s="9"/>
      <c r="W12" s="9"/>
      <c r="X12" s="9"/>
      <c r="Y12" s="9"/>
      <c r="Z12" s="9"/>
      <c r="AA12" s="9"/>
      <c r="AB12" s="9"/>
    </row>
    <row r="13" spans="1:1024">
      <c r="A13" s="141">
        <v>0.4</v>
      </c>
      <c r="B13" s="141">
        <v>0.45</v>
      </c>
      <c r="C13" s="142">
        <f t="shared" si="0"/>
        <v>0.42500000000000004</v>
      </c>
      <c r="D13" s="142" t="s">
        <v>329</v>
      </c>
      <c r="E13" s="62">
        <v>3.2</v>
      </c>
      <c r="F13" s="6">
        <v>5.9</v>
      </c>
      <c r="G13" s="6">
        <v>20.8</v>
      </c>
      <c r="I13" s="6" t="s">
        <v>343</v>
      </c>
      <c r="K13" s="6" t="s">
        <v>343</v>
      </c>
      <c r="O13" s="9"/>
      <c r="P13" s="9"/>
      <c r="Q13" s="9"/>
      <c r="R13" s="9"/>
      <c r="S13" s="9"/>
      <c r="T13" s="9"/>
      <c r="U13" s="9"/>
      <c r="V13" s="9"/>
      <c r="W13" s="9"/>
      <c r="X13" s="9"/>
      <c r="Y13" s="9"/>
      <c r="Z13" s="9"/>
      <c r="AA13" s="9"/>
      <c r="AB13" s="9"/>
    </row>
    <row r="14" spans="1:1024">
      <c r="A14" s="141">
        <v>0.45</v>
      </c>
      <c r="B14" s="142">
        <v>0.5</v>
      </c>
      <c r="C14" s="142">
        <f t="shared" si="0"/>
        <v>0.47499999999999998</v>
      </c>
      <c r="D14" s="142" t="s">
        <v>330</v>
      </c>
      <c r="E14" s="62">
        <v>3</v>
      </c>
      <c r="F14" s="6">
        <v>5.53</v>
      </c>
      <c r="G14" s="6">
        <v>20.399999999999999</v>
      </c>
      <c r="I14" s="6" t="s">
        <v>344</v>
      </c>
      <c r="K14" s="6" t="s">
        <v>344</v>
      </c>
      <c r="O14" s="9"/>
      <c r="P14" s="9"/>
      <c r="Q14" s="9"/>
      <c r="R14" s="9"/>
      <c r="S14" s="9"/>
      <c r="T14" s="9"/>
      <c r="U14" s="9"/>
      <c r="V14" s="9"/>
      <c r="W14" s="9"/>
      <c r="X14" s="9"/>
      <c r="Y14" s="9"/>
      <c r="Z14" s="9"/>
      <c r="AA14" s="9"/>
      <c r="AB14" s="9"/>
    </row>
    <row r="15" spans="1:1024">
      <c r="A15" s="141">
        <v>0.5</v>
      </c>
      <c r="B15" s="141">
        <v>0.56999999999999995</v>
      </c>
      <c r="C15" s="142">
        <f t="shared" si="0"/>
        <v>0.53499999999999992</v>
      </c>
      <c r="D15" s="142" t="s">
        <v>331</v>
      </c>
      <c r="E15" s="62">
        <v>3.8</v>
      </c>
      <c r="F15" s="6">
        <v>6.93</v>
      </c>
      <c r="G15" s="6">
        <v>20.100000000000001</v>
      </c>
      <c r="I15" s="6" t="s">
        <v>345</v>
      </c>
      <c r="K15" s="6" t="s">
        <v>345</v>
      </c>
      <c r="O15" s="9"/>
      <c r="P15" s="9"/>
      <c r="Q15" s="9"/>
      <c r="R15" s="9"/>
      <c r="S15" s="9"/>
      <c r="T15" s="9"/>
      <c r="U15" s="9"/>
      <c r="V15" s="9"/>
      <c r="W15" s="9"/>
      <c r="X15" s="9"/>
      <c r="Y15" s="9"/>
      <c r="Z15" s="9"/>
      <c r="AA15" s="9"/>
      <c r="AB15" s="9"/>
    </row>
    <row r="16" spans="1:1024">
      <c r="A16" s="141">
        <v>0.56999999999999995</v>
      </c>
      <c r="B16" s="142">
        <v>0.62</v>
      </c>
      <c r="C16" s="142">
        <f t="shared" si="0"/>
        <v>0.59499999999999997</v>
      </c>
      <c r="D16" s="142" t="s">
        <v>332</v>
      </c>
      <c r="E16" s="62">
        <v>3.3</v>
      </c>
      <c r="F16" s="6">
        <v>6.06</v>
      </c>
      <c r="G16" s="6">
        <v>20.9</v>
      </c>
      <c r="I16" s="6" t="s">
        <v>346</v>
      </c>
      <c r="K16" s="6" t="s">
        <v>346</v>
      </c>
      <c r="O16" s="9"/>
      <c r="P16" s="9"/>
      <c r="Q16" s="9"/>
      <c r="R16" s="9"/>
      <c r="S16" s="9"/>
      <c r="T16" s="9"/>
      <c r="U16" s="9"/>
      <c r="V16" s="9"/>
      <c r="W16" s="9"/>
      <c r="X16" s="9"/>
      <c r="Y16" s="9"/>
      <c r="Z16" s="9"/>
      <c r="AA16" s="9"/>
      <c r="AB16" s="9"/>
    </row>
    <row r="17" spans="1:28">
      <c r="A17" s="141">
        <v>0.62</v>
      </c>
      <c r="B17" s="141">
        <v>0.67</v>
      </c>
      <c r="C17" s="142">
        <f t="shared" si="0"/>
        <v>0.64500000000000002</v>
      </c>
      <c r="D17" s="142" t="s">
        <v>333</v>
      </c>
      <c r="E17" s="62">
        <v>3.2</v>
      </c>
      <c r="F17" s="6">
        <v>5.94</v>
      </c>
      <c r="G17" s="6">
        <v>20.6</v>
      </c>
      <c r="I17" s="6" t="s">
        <v>347</v>
      </c>
      <c r="K17" s="6" t="s">
        <v>347</v>
      </c>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63"/>
      <c r="C28" s="142"/>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B12"/>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6">
      <c r="A4" s="70"/>
      <c r="B4" s="70"/>
      <c r="C4" s="153"/>
      <c r="D4" s="153"/>
      <c r="E4" s="153"/>
      <c r="F4" s="22"/>
      <c r="G4" s="22"/>
      <c r="H4" s="22"/>
      <c r="I4" s="22"/>
      <c r="J4" s="22"/>
      <c r="K4" s="22"/>
      <c r="L4" s="22"/>
      <c r="M4" s="22"/>
      <c r="N4" s="22"/>
      <c r="O4" s="22"/>
      <c r="P4" s="22"/>
      <c r="Q4" s="22"/>
      <c r="R4" s="22"/>
      <c r="S4" s="22"/>
      <c r="T4" s="22"/>
      <c r="U4" s="22"/>
      <c r="V4" s="22"/>
      <c r="W4" s="22"/>
      <c r="X4" s="22"/>
      <c r="Y4" s="22"/>
      <c r="Z4" s="22"/>
    </row>
    <row r="5" spans="1:26" ht="15.6">
      <c r="A5" s="70"/>
      <c r="B5" s="70"/>
      <c r="C5" s="153"/>
      <c r="D5" s="153"/>
      <c r="E5" s="153"/>
      <c r="F5" s="22"/>
      <c r="G5" s="22"/>
      <c r="H5" s="22"/>
      <c r="I5" s="22"/>
      <c r="J5" s="22"/>
      <c r="K5" s="22"/>
      <c r="L5" s="22"/>
      <c r="M5" s="22"/>
      <c r="N5" s="22"/>
      <c r="O5" s="22"/>
      <c r="P5" s="22"/>
      <c r="Q5" s="22"/>
      <c r="R5" s="22"/>
      <c r="S5" s="22"/>
      <c r="T5" s="22"/>
      <c r="U5" s="22"/>
      <c r="V5" s="22"/>
      <c r="W5" s="22"/>
      <c r="X5" s="22"/>
      <c r="Y5" s="22"/>
      <c r="Z5" s="22"/>
    </row>
    <row r="6" spans="1:26" ht="15.6">
      <c r="A6" s="70"/>
      <c r="B6" s="70"/>
      <c r="C6" s="153"/>
      <c r="D6" s="153"/>
      <c r="E6" s="153"/>
      <c r="F6" s="22"/>
      <c r="G6" s="22"/>
      <c r="H6" s="22"/>
      <c r="I6" s="22"/>
      <c r="J6" s="22"/>
      <c r="K6" s="22"/>
      <c r="L6" s="22"/>
      <c r="M6" s="22"/>
      <c r="N6" s="22"/>
      <c r="O6" s="22"/>
      <c r="P6" s="22"/>
      <c r="Q6" s="22"/>
      <c r="R6" s="22"/>
      <c r="S6" s="22"/>
      <c r="T6" s="22"/>
      <c r="U6" s="22"/>
      <c r="V6" s="22"/>
      <c r="W6" s="22"/>
      <c r="X6" s="22"/>
      <c r="Y6" s="22"/>
      <c r="Z6" s="22"/>
    </row>
    <row r="7" spans="1:26" ht="15.6">
      <c r="A7" s="70"/>
      <c r="B7" s="70"/>
      <c r="C7" s="153"/>
      <c r="D7" s="153"/>
      <c r="E7" s="153"/>
      <c r="F7" s="22"/>
      <c r="G7" s="22"/>
      <c r="H7" s="22"/>
      <c r="I7" s="22"/>
      <c r="J7" s="22"/>
      <c r="K7" s="22"/>
      <c r="L7" s="22"/>
      <c r="M7" s="22"/>
      <c r="N7" s="22"/>
      <c r="O7" s="22"/>
      <c r="P7" s="22"/>
      <c r="Q7" s="22"/>
      <c r="R7" s="22"/>
      <c r="S7" s="22"/>
      <c r="T7" s="22"/>
      <c r="U7" s="22"/>
      <c r="V7" s="22"/>
      <c r="W7" s="22"/>
      <c r="X7" s="22"/>
      <c r="Y7" s="22"/>
      <c r="Z7" s="22"/>
    </row>
    <row r="8" spans="1:26" ht="15.6">
      <c r="A8" s="70"/>
      <c r="B8" s="70"/>
      <c r="C8" s="153"/>
      <c r="D8" s="153"/>
      <c r="E8" s="153"/>
      <c r="F8" s="22"/>
      <c r="G8" s="22"/>
      <c r="H8" s="22"/>
      <c r="I8" s="22"/>
      <c r="J8" s="22"/>
      <c r="K8" s="22"/>
      <c r="L8" s="22"/>
      <c r="M8" s="22"/>
      <c r="N8" s="22"/>
      <c r="O8" s="22"/>
      <c r="P8" s="22"/>
      <c r="Q8" s="22"/>
      <c r="R8" s="22"/>
      <c r="S8" s="22"/>
      <c r="T8" s="22"/>
      <c r="U8" s="22"/>
      <c r="V8" s="22"/>
      <c r="W8" s="22"/>
      <c r="X8" s="22"/>
      <c r="Y8" s="22"/>
      <c r="Z8" s="22"/>
    </row>
    <row r="9" spans="1:26" ht="15.6">
      <c r="A9" s="70"/>
      <c r="B9" s="70"/>
      <c r="C9" s="153"/>
      <c r="D9" s="153"/>
      <c r="E9" s="153"/>
      <c r="F9" s="22"/>
      <c r="G9" s="22"/>
      <c r="H9" s="22"/>
      <c r="I9" s="22"/>
      <c r="J9" s="22"/>
      <c r="K9" s="22"/>
      <c r="L9" s="22"/>
      <c r="M9" s="22"/>
      <c r="N9" s="22"/>
      <c r="O9" s="22"/>
      <c r="P9" s="22"/>
      <c r="Q9" s="22"/>
      <c r="R9" s="22"/>
      <c r="S9" s="22"/>
      <c r="T9" s="22"/>
      <c r="U9" s="22"/>
      <c r="V9" s="22"/>
      <c r="W9" s="22"/>
      <c r="X9" s="22"/>
      <c r="Y9" s="22"/>
      <c r="Z9" s="22"/>
    </row>
    <row r="10" spans="1:26" ht="15.6">
      <c r="A10" s="70"/>
      <c r="B10" s="70"/>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6">
      <c r="A11" s="70"/>
      <c r="B11" s="70"/>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6">
      <c r="A12" s="70"/>
      <c r="B12" s="70"/>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4" sqref="F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0.67</v>
      </c>
      <c r="D4" s="156"/>
      <c r="E4" s="156"/>
      <c r="F4" s="6" t="s">
        <v>334</v>
      </c>
      <c r="G4" s="9"/>
      <c r="H4" s="9"/>
      <c r="I4" s="9"/>
      <c r="J4" s="9"/>
      <c r="K4" s="9"/>
      <c r="L4" s="9"/>
      <c r="M4" s="9"/>
      <c r="N4" s="9"/>
      <c r="O4" s="9"/>
      <c r="P4" s="9"/>
      <c r="Q4" s="9"/>
      <c r="R4" s="9"/>
      <c r="S4" s="9"/>
      <c r="T4" s="9"/>
      <c r="U4" s="9"/>
      <c r="V4" s="9"/>
      <c r="W4" s="9"/>
      <c r="X4" s="9"/>
      <c r="Y4" s="9"/>
      <c r="Z4" s="9"/>
    </row>
    <row r="5" spans="1:26">
      <c r="D5" s="156"/>
      <c r="E5" s="156"/>
      <c r="G5" s="9"/>
      <c r="H5" s="9"/>
      <c r="I5" s="9"/>
      <c r="J5" s="9"/>
      <c r="K5" s="9"/>
      <c r="L5" s="9"/>
      <c r="M5" s="9"/>
      <c r="N5" s="9"/>
      <c r="O5" s="9"/>
      <c r="P5" s="9"/>
      <c r="Q5" s="9"/>
      <c r="R5" s="9"/>
      <c r="S5" s="9"/>
      <c r="T5" s="9"/>
      <c r="U5" s="9"/>
      <c r="V5" s="9"/>
      <c r="W5" s="9"/>
      <c r="X5" s="9"/>
      <c r="Y5" s="9"/>
      <c r="Z5" s="9"/>
    </row>
    <row r="6" spans="1:26">
      <c r="D6" s="156"/>
      <c r="E6" s="156"/>
      <c r="G6" s="9"/>
      <c r="H6" s="9"/>
      <c r="I6" s="9"/>
      <c r="J6" s="9"/>
      <c r="K6" s="9"/>
      <c r="L6" s="9"/>
      <c r="M6" s="9"/>
      <c r="N6" s="9"/>
      <c r="O6" s="9"/>
      <c r="P6" s="9"/>
      <c r="Q6" s="9"/>
      <c r="R6" s="9"/>
      <c r="S6" s="9"/>
      <c r="T6" s="9"/>
      <c r="U6" s="9"/>
      <c r="V6" s="9"/>
      <c r="W6" s="9"/>
      <c r="X6" s="9"/>
      <c r="Y6" s="9"/>
      <c r="Z6" s="9"/>
    </row>
    <row r="7" spans="1:26">
      <c r="C7"/>
      <c r="D7" s="156"/>
      <c r="E7" s="156"/>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2025-08-11T12:15:18Z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