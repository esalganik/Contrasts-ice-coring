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salg001\Documents\MATLAB\Contrasts coring\Data\IceStation2a\15jul2025coring\"/>
    </mc:Choice>
  </mc:AlternateContent>
  <xr:revisionPtr revIDLastSave="0" documentId="13_ncr:1_{DEB9FF65-7B3B-480D-87B3-104D4D4DDF37}" xr6:coauthVersionLast="47" xr6:coauthVersionMax="47" xr10:uidLastSave="{00000000-0000-0000-0000-000000000000}"/>
  <bookViews>
    <workbookView xWindow="-105" yWindow="0" windowWidth="19410" windowHeight="20985" tabRatio="726" activeTab="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3" i="3" l="1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</calcChain>
</file>

<file path=xl/sharedStrings.xml><?xml version="1.0" encoding="utf-8"?>
<sst xmlns="http://schemas.openxmlformats.org/spreadsheetml/2006/main" count="727" uniqueCount="357">
  <si>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</si>
  <si>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</si>
  <si>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</si>
  <si>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</si>
  <si>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</si>
  <si>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</si>
  <si>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</si>
  <si>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</si>
  <si>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</si>
  <si>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</si>
  <si>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</si>
  <si>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</si>
  <si>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</si>
  <si>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</si>
  <si>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</si>
  <si>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</si>
  <si>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</si>
  <si>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</si>
  <si>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</si>
  <si>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</si>
  <si>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</si>
  <si>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</si>
  <si>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</si>
  <si>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</si>
  <si>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</si>
  <si>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</si>
  <si>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</si>
  <si>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</si>
  <si>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</si>
  <si>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</si>
  <si>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</si>
  <si>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</si>
  <si>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</si>
  <si>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</si>
  <si>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</si>
  <si>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</si>
  <si>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</si>
  <si>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</si>
  <si>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</si>
  <si>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</si>
  <si>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</si>
  <si>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</si>
  <si>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</si>
  <si>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</si>
  <si>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</si>
  <si>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</si>
  <si>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</si>
  <si>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</si>
  <si>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</si>
  <si>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</si>
  <si>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</si>
  <si>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</si>
  <si>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</si>
  <si>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</si>
  <si>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</si>
  <si>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</si>
  <si>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</si>
  <si>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</si>
  <si>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</si>
  <si>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</si>
  <si>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</si>
  <si>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</si>
  <si>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</si>
  <si>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</si>
  <si>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</si>
  <si>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</si>
  <si>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</si>
  <si>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</si>
  <si>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</si>
  <si>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</si>
  <si>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</si>
  <si>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</si>
  <si>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</si>
  <si>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</si>
  <si>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</si>
  <si>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</si>
  <si>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</si>
  <si>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</si>
  <si>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</si>
  <si>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</si>
  <si>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</si>
  <si>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</si>
  <si>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</si>
  <si>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</si>
  <si>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</si>
  <si>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</si>
  <si>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</si>
  <si>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</si>
  <si>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</si>
  <si>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</si>
  <si>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</si>
  <si>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</si>
  <si>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</si>
  <si>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</si>
  <si>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</si>
  <si>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</si>
  <si>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</si>
  <si>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</si>
  <si>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</si>
  <si>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</si>
  <si>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</si>
  <si>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</si>
  <si>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</si>
  <si>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</si>
  <si>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</si>
  <si>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</si>
  <si>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</si>
  <si>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</si>
  <si>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</si>
  <si>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</si>
  <si>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</si>
  <si>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</si>
  <si>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</si>
  <si>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</si>
  <si>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</si>
  <si>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</si>
  <si>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</si>
  <si>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</si>
  <si>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</si>
  <si>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</si>
  <si>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</si>
  <si>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</si>
  <si>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</si>
  <si>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</si>
  <si>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</si>
  <si>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</si>
  <si>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</si>
  <si>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</si>
  <si>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</si>
  <si>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</si>
  <si>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</si>
  <si>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</si>
  <si>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</si>
  <si>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</si>
  <si>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</si>
  <si>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</si>
  <si>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</si>
  <si>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</si>
  <si>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</si>
  <si>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</si>
  <si>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</si>
  <si>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</si>
  <si>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</si>
  <si>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</si>
  <si>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</si>
  <si>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</si>
  <si>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</si>
  <si>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</si>
  <si>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</si>
  <si>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</si>
  <si>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</si>
  <si>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</si>
  <si>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</si>
  <si>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</si>
  <si>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</si>
  <si>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</si>
  <si>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</si>
  <si>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</si>
  <si>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</si>
  <si>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</si>
  <si>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</si>
  <si>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</si>
  <si>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</si>
  <si>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</si>
  <si>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</si>
  <si>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</si>
  <si>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</si>
  <si>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</si>
  <si>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</si>
  <si>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</si>
  <si>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</si>
  <si>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</si>
  <si>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</si>
  <si>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</si>
  <si>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</si>
  <si>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</si>
  <si>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</si>
  <si>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</si>
  <si>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</si>
  <si>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</si>
  <si>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</si>
  <si>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</si>
  <si>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</si>
  <si>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</si>
  <si>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</si>
  <si>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</si>
  <si>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</si>
  <si>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</si>
  <si>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</si>
  <si>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</si>
  <si>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</si>
  <si>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</si>
  <si>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</si>
  <si>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</si>
  <si>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</si>
  <si>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</si>
  <si>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</si>
  <si>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</si>
  <si>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</si>
  <si>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</si>
  <si>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</si>
  <si>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</si>
  <si>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</si>
  <si>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</si>
  <si>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</si>
  <si>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</si>
  <si>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</si>
  <si>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</si>
  <si>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</si>
  <si>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</si>
  <si>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</si>
  <si>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</si>
  <si>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</si>
  <si>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</si>
  <si>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</si>
  <si>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</si>
  <si>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</si>
  <si>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</si>
  <si>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</si>
  <si>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</si>
  <si>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</si>
  <si>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</si>
  <si>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</si>
  <si>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</si>
  <si>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</si>
  <si>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</si>
  <si>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</si>
  <si>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</si>
  <si>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</si>
  <si>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</si>
  <si>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</si>
  <si>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</si>
  <si>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</si>
  <si>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</si>
  <si>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</si>
  <si>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</si>
  <si>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</si>
  <si>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</si>
  <si>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</si>
  <si>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</si>
  <si>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</si>
  <si>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</si>
  <si>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</si>
  <si>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</si>
  <si>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</si>
  <si>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</si>
  <si>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</si>
  <si>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</si>
  <si>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</si>
  <si>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</si>
  <si>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</si>
  <si>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</si>
  <si>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</si>
  <si>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</si>
  <si>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</si>
  <si>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</si>
  <si>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</si>
  <si>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</si>
  <si>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</si>
  <si>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</si>
  <si>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</si>
  <si>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</si>
  <si>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</si>
  <si>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</si>
  <si>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</si>
  <si>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</si>
  <si>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</si>
  <si>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</si>
  <si>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</si>
  <si>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</si>
  <si>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</si>
  <si>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</si>
  <si>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</si>
  <si>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</si>
  <si>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</si>
  <si>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</si>
  <si>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</si>
  <si>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</si>
  <si>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</si>
  <si>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</si>
  <si>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</si>
  <si>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</si>
  <si>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</si>
  <si>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</si>
  <si>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</si>
  <si>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</si>
  <si>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</si>
  <si>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</si>
  <si>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</si>
  <si>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</si>
  <si>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</si>
  <si>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</si>
  <si>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</si>
  <si>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</si>
  <si>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</si>
  <si>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</si>
  <si>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</si>
  <si>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core contains some scatter layer/refrozen snow layer on the top 4-6 cm</t>
  </si>
  <si>
    <t>CONTRATS-PS_149</t>
  </si>
  <si>
    <t>Dmitry Divine</t>
  </si>
  <si>
    <t>9 cm Kovacs</t>
  </si>
  <si>
    <t>Emiliano Cimoli</t>
  </si>
  <si>
    <t xml:space="preserve">T-probe </t>
  </si>
  <si>
    <t>20250715-PS_149-FYI</t>
  </si>
  <si>
    <t>PS149-2a</t>
  </si>
  <si>
    <t>Lena Eggers</t>
  </si>
  <si>
    <t>borehole</t>
  </si>
  <si>
    <t>mark start 319</t>
  </si>
  <si>
    <t>mark end 321</t>
  </si>
  <si>
    <t>20250715-PS149_16-1-SI_corer_9cm-019-SYI-T</t>
  </si>
  <si>
    <t>20250715-PS149_16-1-SI_corer_9cm-019-SYI-REP</t>
  </si>
  <si>
    <t>all ECO and BGC cores</t>
  </si>
  <si>
    <t>20250715-PS149_16-1-SI_corer_9cm-019-SYI-SALO18</t>
  </si>
  <si>
    <t>core for density. Pictures of the core were made</t>
  </si>
  <si>
    <t xml:space="preserve">Densinometry using Shimadzu ux4200h balance and SMK-101 specific gravity kit. Accuracy of weitgh measurements due to ships vibrations within 0.5 g </t>
  </si>
  <si>
    <t>section 2</t>
  </si>
  <si>
    <t>section 1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</si>
  <si>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</si>
  <si>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</si>
  <si>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</si>
  <si>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</si>
  <si>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</si>
  <si>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</si>
  <si>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</si>
  <si>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</si>
  <si>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</si>
  <si>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</si>
  <si>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</si>
  <si>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</si>
  <si>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</si>
  <si>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</si>
  <si>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</si>
  <si>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</si>
  <si>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</si>
  <si>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</si>
  <si>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</si>
  <si>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</si>
  <si>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</si>
  <si>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</si>
  <si>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</si>
  <si>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</si>
  <si>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</si>
  <si>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</si>
  <si>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</si>
  <si>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</si>
  <si>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</si>
  <si>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bubbles out</t>
  </si>
  <si>
    <t>nearly floats</t>
  </si>
  <si>
    <t>break ; not fully immersed?</t>
  </si>
  <si>
    <t>brine channels, bubbles out</t>
  </si>
  <si>
    <t>brine channels</t>
  </si>
  <si>
    <t>"sandwich" sample of two pieces that froze together</t>
  </si>
  <si>
    <t>Conductivity probe: WTW Cond 3110 (NPI)</t>
  </si>
  <si>
    <t>Coring site FYI part of the older floe</t>
  </si>
  <si>
    <t>Ice Station 2a (event 16-1), coring on the main coring site.  First considered as SYI, but appears to be most likely FYI acording to density and salinity results</t>
  </si>
  <si>
    <t>rho_parafine=0.834</t>
  </si>
  <si>
    <t>Tlab =-20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</si>
</sst>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5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'Density-densimetry'!$C$4:$C$32</c:f>
              <c:numCache>
                <c:formatCode>0.00</c:formatCode>
                <c:ptCount val="29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</c:v>
                </c:pt>
                <c:pt idx="5">
                  <c:v>0.27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0.53</c:v>
                </c:pt>
                <c:pt idx="11">
                  <c:v>0.58000000000000007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1.375</c:v>
                </c:pt>
                <c:pt idx="28">
                  <c:v>1.4249999999999998</c:v>
                </c:pt>
              </c:numCache>
            </c:numRef>
          </c:xVal>
          <c:yVal>
            <c:numRef>
              <c:f>'Density-densimetry'!$G$4:$G$32</c:f>
              <c:numCache>
                <c:formatCode>General</c:formatCode>
                <c:ptCount val="29"/>
                <c:pt idx="0">
                  <c:v>0.86260877116804169</c:v>
                </c:pt>
                <c:pt idx="1">
                  <c:v>0.84151595670553259</c:v>
                </c:pt>
                <c:pt idx="2">
                  <c:v>0.86059976662777116</c:v>
                </c:pt>
                <c:pt idx="3">
                  <c:v>0.91081578947368425</c:v>
                </c:pt>
                <c:pt idx="4">
                  <c:v>0.90576590058792084</c:v>
                </c:pt>
                <c:pt idx="5">
                  <c:v>0.89199159120310467</c:v>
                </c:pt>
                <c:pt idx="6">
                  <c:v>0.86162865947611711</c:v>
                </c:pt>
                <c:pt idx="7">
                  <c:v>0.88974201787994878</c:v>
                </c:pt>
                <c:pt idx="8">
                  <c:v>0.89792093586123423</c:v>
                </c:pt>
                <c:pt idx="9">
                  <c:v>0.89677040169133193</c:v>
                </c:pt>
                <c:pt idx="10">
                  <c:v>0.90567770814682191</c:v>
                </c:pt>
                <c:pt idx="11">
                  <c:v>0.90739199999999998</c:v>
                </c:pt>
                <c:pt idx="12">
                  <c:v>0.91473292999135691</c:v>
                </c:pt>
                <c:pt idx="13">
                  <c:v>0.90584401799792313</c:v>
                </c:pt>
                <c:pt idx="14">
                  <c:v>0.90501321928460332</c:v>
                </c:pt>
                <c:pt idx="15">
                  <c:v>0.89590711838599157</c:v>
                </c:pt>
                <c:pt idx="16">
                  <c:v>0.89848116169544734</c:v>
                </c:pt>
                <c:pt idx="17">
                  <c:v>0.89871316477768093</c:v>
                </c:pt>
                <c:pt idx="18">
                  <c:v>0.89631421647819054</c:v>
                </c:pt>
                <c:pt idx="19">
                  <c:v>0.895203449205066</c:v>
                </c:pt>
                <c:pt idx="20">
                  <c:v>0.89960023555144275</c:v>
                </c:pt>
                <c:pt idx="21">
                  <c:v>0.90987977254264829</c:v>
                </c:pt>
                <c:pt idx="22">
                  <c:v>0.90778199052132702</c:v>
                </c:pt>
                <c:pt idx="23">
                  <c:v>0.91321988682295874</c:v>
                </c:pt>
                <c:pt idx="24">
                  <c:v>0.91352567237163818</c:v>
                </c:pt>
                <c:pt idx="25">
                  <c:v>0.91344352409638552</c:v>
                </c:pt>
                <c:pt idx="26">
                  <c:v>0.91471984877126655</c:v>
                </c:pt>
                <c:pt idx="27">
                  <c:v>0.90927009183786378</c:v>
                </c:pt>
                <c:pt idx="28">
                  <c:v>0.90960146998775004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8F-47DF-BB1C-4489FFFAE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266720"/>
        <c:axId val="1351267680"/>
      </c:scatterChart>
      <c:valAx>
        <c:axId val="135126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67680"/>
        <c:crosses val="autoZero"/>
        <c:crossBetween val="midCat"/>
      </c:valAx>
      <c:valAx>
        <c:axId val="13512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6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242047</xdr:colOff>
      <xdr:row>1</xdr:row>
      <xdr:rowOff>493059</xdr:rowOff>
    </xdr:from>
    <xdr:to>
      <xdr:col>18</xdr:col>
      <xdr:colOff>107577</xdr:colOff>
      <xdr:row>17</xdr:row>
      <xdr:rowOff>17929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3FACD-2F83-50A8-10C3-119DFF60B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C1" sqref="C1:E1"/>
    </sheetView>
  </sheetViews>
  <sheetFormatPr defaultColWidth="13.5703125" defaultRowHeight="14.25"/>
  <cols>
    <col min="1" max="2" width="13.5703125" style="6"/>
    <col min="3" max="3" width="14.5703125" style="6" bestFit="1" customWidth="1"/>
    <col min="4" max="1025" width="13.5703125" style="6"/>
  </cols>
  <sheetData>
    <row r="1" spans="1:7" ht="15">
      <c r="A1" s="7" t="s">
        <v>0</v>
      </c>
      <c r="B1" s="8" t="s">
        <v>1</v>
      </c>
      <c r="C1" s="142" t="s">
        <v>303</v>
      </c>
      <c r="D1" s="142"/>
      <c r="E1" s="142"/>
      <c r="F1" s="9"/>
    </row>
    <row r="2" spans="1:7" ht="15">
      <c r="A2" s="7" t="s">
        <v>2</v>
      </c>
      <c r="B2" s="8"/>
      <c r="C2" s="10">
        <v>45853</v>
      </c>
      <c r="D2" s="11" t="s">
        <v>3</v>
      </c>
      <c r="E2" s="9"/>
      <c r="F2" s="9"/>
    </row>
    <row r="3" spans="1:7" ht="15">
      <c r="A3" s="7" t="s">
        <v>4</v>
      </c>
      <c r="B3" s="8"/>
      <c r="C3" s="12">
        <v>0.37777777777777777</v>
      </c>
      <c r="D3" s="11" t="s">
        <v>3</v>
      </c>
      <c r="E3" s="9"/>
      <c r="F3" s="9"/>
    </row>
    <row r="4" spans="1:7" ht="15">
      <c r="A4" s="13" t="s">
        <v>5</v>
      </c>
      <c r="B4" s="14" t="s">
        <v>1</v>
      </c>
      <c r="C4" s="142" t="s">
        <v>313</v>
      </c>
      <c r="D4" s="142"/>
      <c r="E4" s="142"/>
      <c r="F4" s="9"/>
    </row>
    <row r="5" spans="1:7">
      <c r="A5" s="9"/>
      <c r="B5" s="9"/>
      <c r="C5" s="9"/>
      <c r="D5" s="9"/>
      <c r="E5" s="9"/>
      <c r="F5" s="9"/>
    </row>
    <row r="6" spans="1:7" ht="15">
      <c r="A6" s="15" t="s">
        <v>6</v>
      </c>
      <c r="B6" s="9"/>
      <c r="C6" s="9"/>
      <c r="D6" s="9"/>
      <c r="E6" s="9"/>
      <c r="F6" s="9"/>
    </row>
    <row r="7" spans="1:7" ht="15">
      <c r="A7" s="7" t="s">
        <v>7</v>
      </c>
      <c r="B7" s="8" t="s">
        <v>8</v>
      </c>
      <c r="C7" s="16">
        <v>1.44</v>
      </c>
      <c r="D7" s="17" t="s">
        <v>9</v>
      </c>
      <c r="E7" s="9"/>
      <c r="F7" s="9"/>
    </row>
    <row r="8" spans="1:7" ht="15">
      <c r="A8" s="7" t="s">
        <v>10</v>
      </c>
      <c r="B8" s="8" t="s">
        <v>8</v>
      </c>
      <c r="C8" s="16">
        <v>1.33</v>
      </c>
      <c r="D8" s="17" t="s">
        <v>9</v>
      </c>
      <c r="E8" s="9"/>
      <c r="F8" s="9"/>
    </row>
    <row r="9" spans="1:7" ht="15">
      <c r="A9" s="7" t="s">
        <v>11</v>
      </c>
      <c r="B9" s="8" t="s">
        <v>8</v>
      </c>
      <c r="C9" s="18"/>
      <c r="D9" s="9"/>
      <c r="E9" s="9"/>
      <c r="F9" s="9"/>
    </row>
    <row r="10" spans="1:7" ht="15">
      <c r="A10" s="7" t="s">
        <v>12</v>
      </c>
      <c r="B10" s="8" t="s">
        <v>8</v>
      </c>
      <c r="C10" s="16">
        <v>1.46</v>
      </c>
      <c r="D10" s="9" t="s">
        <v>13</v>
      </c>
      <c r="E10" s="9"/>
      <c r="F10" s="9"/>
      <c r="G10" s="6" t="s">
        <v>297</v>
      </c>
    </row>
    <row r="11" spans="1:7">
      <c r="A11" s="9"/>
      <c r="B11" s="9"/>
      <c r="C11" s="9"/>
      <c r="D11" s="9"/>
      <c r="E11" s="9"/>
      <c r="F11" s="9"/>
    </row>
    <row r="12" spans="1:7" ht="15">
      <c r="A12" s="19" t="s">
        <v>14</v>
      </c>
      <c r="B12" s="19"/>
      <c r="C12" s="19"/>
      <c r="D12" s="19"/>
      <c r="E12" s="19"/>
      <c r="F12" s="19"/>
    </row>
    <row r="13" spans="1:7" ht="15">
      <c r="A13" s="19" t="s">
        <v>15</v>
      </c>
      <c r="B13" s="19"/>
      <c r="C13" s="142" t="s">
        <v>300</v>
      </c>
      <c r="D13" s="142"/>
      <c r="E13" s="142"/>
      <c r="F13" s="142"/>
    </row>
    <row r="14" spans="1:7">
      <c r="B14" s="6" t="s">
        <v>302</v>
      </c>
      <c r="C14" s="6" t="s">
        <v>314</v>
      </c>
      <c r="D14" s="5"/>
      <c r="E14" s="5"/>
      <c r="F14" s="5"/>
    </row>
    <row r="15" spans="1:7">
      <c r="B15" s="6" t="s">
        <v>352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L23" sqref="L23"/>
    </sheetView>
  </sheetViews>
  <sheetFormatPr defaultColWidth="8.85546875" defaultRowHeight="12"/>
  <cols>
    <col min="1" max="1" width="21.42578125" customWidth="1"/>
    <col min="2" max="2" width="12.140625" customWidth="1"/>
    <col min="3" max="5" width="12.5703125" customWidth="1"/>
    <col min="1024" max="1025" width="11.285156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3" t="s">
        <v>19</v>
      </c>
      <c r="B2" s="143"/>
      <c r="C2" s="143"/>
      <c r="D2" s="143"/>
      <c r="E2" s="143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4" t="s">
        <v>298</v>
      </c>
      <c r="D3" s="144"/>
      <c r="E3" s="14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5" t="s">
        <v>353</v>
      </c>
      <c r="D4" s="145"/>
      <c r="E4" s="145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" customHeight="1">
      <c r="A5" s="143" t="s">
        <v>22</v>
      </c>
      <c r="B5" s="143"/>
      <c r="C5" s="143"/>
      <c r="D5" s="143"/>
      <c r="E5" s="143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6" t="s">
        <v>23</v>
      </c>
      <c r="D6" s="146"/>
      <c r="E6" s="146"/>
      <c r="F6" s="143" t="s">
        <v>24</v>
      </c>
      <c r="G6" s="143"/>
      <c r="H6" s="143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</v>
      </c>
      <c r="D8" s="30">
        <v>59.442999999999998</v>
      </c>
      <c r="E8" s="31"/>
      <c r="F8">
        <v>84</v>
      </c>
      <c r="G8" s="30">
        <v>58.303199999999997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13</v>
      </c>
      <c r="D9" s="34">
        <v>56.441200000000002</v>
      </c>
      <c r="E9" s="35"/>
      <c r="F9">
        <v>14</v>
      </c>
      <c r="G9" s="34">
        <v>3.4748000000000001</v>
      </c>
      <c r="I9" s="22" t="s">
        <v>307</v>
      </c>
      <c r="J9" s="22" t="s">
        <v>308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5" customHeight="1">
      <c r="A10" s="147" t="s">
        <v>32</v>
      </c>
      <c r="B10" s="147"/>
      <c r="C10" s="147"/>
      <c r="D10" s="147"/>
      <c r="E10" s="147"/>
      <c r="F10" s="143"/>
      <c r="G10" s="143"/>
      <c r="H10" s="143"/>
      <c r="I10" s="14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45853</v>
      </c>
      <c r="D12" s="38">
        <v>45853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36" t="s">
        <v>35</v>
      </c>
      <c r="B13" s="37" t="s">
        <v>36</v>
      </c>
      <c r="C13" s="39">
        <v>0.37777777777777777</v>
      </c>
      <c r="D13" s="39">
        <v>0.46666666666666667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2" customHeight="1">
      <c r="A15" s="147" t="s">
        <v>39</v>
      </c>
      <c r="B15" s="147"/>
      <c r="C15" s="147"/>
      <c r="D15" s="147"/>
      <c r="E15" s="147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36" t="s">
        <v>40</v>
      </c>
      <c r="B16" s="43" t="s">
        <v>8</v>
      </c>
      <c r="C16">
        <v>7.0000000000000007E-2</v>
      </c>
      <c r="D16">
        <v>0.05</v>
      </c>
      <c r="E16">
        <v>0.05</v>
      </c>
      <c r="F16">
        <v>0.04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5" customHeight="1">
      <c r="A24" s="143" t="s">
        <v>53</v>
      </c>
      <c r="B24" s="143"/>
      <c r="C24" s="143"/>
      <c r="D24" s="143"/>
      <c r="E24" s="14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36" t="s">
        <v>54</v>
      </c>
      <c r="B25" s="43" t="s">
        <v>55</v>
      </c>
      <c r="C25">
        <v>0.6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36" t="s">
        <v>61</v>
      </c>
      <c r="B28" s="43" t="s">
        <v>55</v>
      </c>
      <c r="C28">
        <v>-1.7</v>
      </c>
      <c r="D28" s="49" t="s">
        <v>62</v>
      </c>
      <c r="E28" s="49"/>
      <c r="F28" s="22">
        <v>-1.2</v>
      </c>
      <c r="G28" s="22" t="s">
        <v>306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2" customHeight="1">
      <c r="A29" s="143" t="s">
        <v>63</v>
      </c>
      <c r="B29" s="143"/>
      <c r="C29" s="143"/>
      <c r="D29" s="143"/>
      <c r="E29" s="14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45" t="s">
        <v>64</v>
      </c>
      <c r="B30" s="51"/>
      <c r="C30" s="48" t="s">
        <v>304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45" t="s">
        <v>65</v>
      </c>
      <c r="B31" s="51"/>
      <c r="C31" s="52" t="s">
        <v>312</v>
      </c>
      <c r="D31" s="52" t="s">
        <v>309</v>
      </c>
      <c r="E31" s="52" t="s">
        <v>310</v>
      </c>
      <c r="F31" s="52" t="s">
        <v>311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>
      <c r="A32" s="45" t="s">
        <v>66</v>
      </c>
      <c r="B32" s="51"/>
      <c r="C32" s="48" t="s">
        <v>299</v>
      </c>
      <c r="D32" t="s">
        <v>301</v>
      </c>
      <c r="E32" t="s">
        <v>305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36" t="s">
        <v>67</v>
      </c>
      <c r="B33" s="53"/>
      <c r="C33" s="148"/>
      <c r="D33" s="148"/>
      <c r="E33" s="148"/>
      <c r="F33" s="148"/>
      <c r="G33" s="148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3" t="s">
        <v>68</v>
      </c>
      <c r="B35" s="143"/>
      <c r="C35" s="143"/>
      <c r="D35" s="143"/>
      <c r="E35" s="14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149" t="s">
        <v>79</v>
      </c>
      <c r="B41" s="149"/>
      <c r="C41" s="149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0" t="s">
        <v>354</v>
      </c>
      <c r="B42" s="150"/>
      <c r="C42" s="150"/>
      <c r="D42" s="150"/>
      <c r="E42" s="150"/>
      <c r="F42" s="150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3" zoomScale="85" zoomScaleNormal="85" workbookViewId="0">
      <selection activeCell="L15" sqref="L15"/>
    </sheetView>
  </sheetViews>
  <sheetFormatPr defaultColWidth="10.7109375" defaultRowHeight="14.25"/>
  <cols>
    <col min="1" max="8" width="13.7109375" style="6" customWidth="1"/>
    <col min="9" max="9" width="13.42578125" style="6" customWidth="1"/>
    <col min="10" max="13" width="10.7109375" style="6"/>
    <col min="14" max="14" width="20.7109375" style="6" customWidth="1"/>
    <col min="15" max="1025" width="10.7109375" style="6"/>
  </cols>
  <sheetData>
    <row r="1" spans="1:1024" ht="15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>
        <f>AVERAGE(A5:B5)</f>
        <v>2.5000000000000001E-2</v>
      </c>
      <c r="D5" s="62" t="s">
        <v>317</v>
      </c>
      <c r="E5" s="62">
        <v>0.3</v>
      </c>
      <c r="F5" s="141">
        <v>0.622</v>
      </c>
      <c r="G5" s="6">
        <v>18.8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0">
        <v>0.1</v>
      </c>
      <c r="C6" s="141">
        <f t="shared" ref="C6:C33" si="0">AVERAGE(A6:B6)</f>
        <v>7.5000000000000011E-2</v>
      </c>
      <c r="D6" s="62" t="s">
        <v>318</v>
      </c>
      <c r="E6" s="62">
        <v>0.3</v>
      </c>
      <c r="F6" s="141">
        <v>0.83799999999999997</v>
      </c>
      <c r="G6" s="6">
        <v>19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>
        <f t="shared" si="0"/>
        <v>0.125</v>
      </c>
      <c r="D7" s="62" t="s">
        <v>319</v>
      </c>
      <c r="E7" s="62">
        <v>0.9</v>
      </c>
      <c r="F7" s="141">
        <v>1.8080000000000001</v>
      </c>
      <c r="G7" s="6">
        <v>18.5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0">
        <v>0.2</v>
      </c>
      <c r="C8" s="141">
        <f t="shared" si="0"/>
        <v>0.17499999999999999</v>
      </c>
      <c r="D8" s="62" t="s">
        <v>320</v>
      </c>
      <c r="E8" s="62">
        <v>1.6</v>
      </c>
      <c r="F8" s="141">
        <v>3.09</v>
      </c>
      <c r="G8" s="6">
        <v>18.7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0.24</v>
      </c>
      <c r="C9" s="141">
        <f t="shared" si="0"/>
        <v>0.22</v>
      </c>
      <c r="D9" s="62" t="s">
        <v>321</v>
      </c>
      <c r="E9" s="62">
        <v>1.8</v>
      </c>
      <c r="F9" s="141">
        <v>3.42</v>
      </c>
      <c r="G9" s="6">
        <v>18.5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0.24</v>
      </c>
      <c r="B10" s="140">
        <v>0.3</v>
      </c>
      <c r="C10" s="141">
        <f t="shared" si="0"/>
        <v>0.27</v>
      </c>
      <c r="D10" s="62" t="s">
        <v>322</v>
      </c>
      <c r="E10" s="62">
        <v>2.2000000000000002</v>
      </c>
      <c r="F10" s="141">
        <v>4.2300000000000004</v>
      </c>
      <c r="G10" s="6">
        <v>18.399999999999999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>
        <f t="shared" si="0"/>
        <v>0.32499999999999996</v>
      </c>
      <c r="D11" s="62" t="s">
        <v>323</v>
      </c>
      <c r="E11" s="62">
        <v>2.7</v>
      </c>
      <c r="F11" s="141">
        <v>5.08</v>
      </c>
      <c r="G11" s="6">
        <v>19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0">
        <v>0.4</v>
      </c>
      <c r="C12" s="141">
        <f t="shared" si="0"/>
        <v>0.375</v>
      </c>
      <c r="D12" s="62" t="s">
        <v>324</v>
      </c>
      <c r="E12" s="62">
        <v>3</v>
      </c>
      <c r="F12" s="141">
        <v>5.58</v>
      </c>
      <c r="G12" s="6">
        <v>18.5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>
        <f t="shared" si="0"/>
        <v>0.42500000000000004</v>
      </c>
      <c r="D13" s="62" t="s">
        <v>325</v>
      </c>
      <c r="E13" s="62">
        <v>3.2</v>
      </c>
      <c r="F13" s="141">
        <v>5.99</v>
      </c>
      <c r="G13" s="6">
        <v>18.8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0">
        <v>0.5</v>
      </c>
      <c r="C14" s="141">
        <f t="shared" si="0"/>
        <v>0.47499999999999998</v>
      </c>
      <c r="D14" s="62" t="s">
        <v>326</v>
      </c>
      <c r="E14" s="62">
        <v>3.5</v>
      </c>
      <c r="F14" s="141">
        <v>6.51</v>
      </c>
      <c r="G14" s="6">
        <v>18.600000000000001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0.56000000000000005</v>
      </c>
      <c r="C15" s="141">
        <f t="shared" si="0"/>
        <v>0.53</v>
      </c>
      <c r="D15" s="62" t="s">
        <v>327</v>
      </c>
      <c r="E15" s="62">
        <v>3.5</v>
      </c>
      <c r="F15" s="141">
        <v>6.41</v>
      </c>
      <c r="G15" s="6">
        <v>18.5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0.56000000000000005</v>
      </c>
      <c r="B16" s="140">
        <v>0.6</v>
      </c>
      <c r="C16" s="141">
        <f t="shared" si="0"/>
        <v>0.58000000000000007</v>
      </c>
      <c r="D16" s="62" t="s">
        <v>328</v>
      </c>
      <c r="E16" s="62">
        <v>3.9</v>
      </c>
      <c r="F16" s="141">
        <v>7.1</v>
      </c>
      <c r="G16" s="6">
        <v>18.8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>
        <f t="shared" si="0"/>
        <v>0.625</v>
      </c>
      <c r="D17" s="62" t="s">
        <v>329</v>
      </c>
      <c r="E17" s="62">
        <v>3.6</v>
      </c>
      <c r="F17" s="141">
        <v>6.59</v>
      </c>
      <c r="G17" s="6">
        <v>19.100000000000001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0">
        <v>0.7</v>
      </c>
      <c r="C18" s="141">
        <f t="shared" si="0"/>
        <v>0.67500000000000004</v>
      </c>
      <c r="D18" s="62" t="s">
        <v>330</v>
      </c>
      <c r="E18" s="62">
        <v>3.7</v>
      </c>
      <c r="F18" s="141">
        <v>6.72</v>
      </c>
      <c r="G18" s="6">
        <v>18.3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>
        <f t="shared" si="0"/>
        <v>0.72499999999999998</v>
      </c>
      <c r="D19" s="62" t="s">
        <v>331</v>
      </c>
      <c r="E19" s="62">
        <v>4</v>
      </c>
      <c r="F19" s="141">
        <v>7.34</v>
      </c>
      <c r="G19" s="6">
        <v>18.7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0">
        <v>0.8</v>
      </c>
      <c r="C20" s="141">
        <f t="shared" si="0"/>
        <v>0.77500000000000002</v>
      </c>
      <c r="D20" s="62" t="s">
        <v>332</v>
      </c>
      <c r="E20" s="62">
        <v>4</v>
      </c>
      <c r="F20" s="141">
        <v>7.27</v>
      </c>
      <c r="G20" s="6">
        <v>18.5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0.85</v>
      </c>
      <c r="C21" s="141">
        <f t="shared" si="0"/>
        <v>0.82499999999999996</v>
      </c>
      <c r="D21" s="62" t="s">
        <v>333</v>
      </c>
      <c r="E21" s="62">
        <v>4.0999999999999996</v>
      </c>
      <c r="F21" s="141">
        <v>7.39</v>
      </c>
      <c r="G21" s="6">
        <v>18.399999999999999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0">
        <v>0.85</v>
      </c>
      <c r="B22" s="140">
        <v>0.9</v>
      </c>
      <c r="C22" s="141">
        <f t="shared" si="0"/>
        <v>0.875</v>
      </c>
      <c r="D22" s="62" t="s">
        <v>334</v>
      </c>
      <c r="E22" s="62">
        <v>3.9</v>
      </c>
      <c r="F22" s="141">
        <v>7.16</v>
      </c>
      <c r="G22" s="6">
        <v>18.3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0">
        <v>0.9</v>
      </c>
      <c r="B23" s="140">
        <v>0.95</v>
      </c>
      <c r="C23" s="141">
        <f t="shared" si="0"/>
        <v>0.92500000000000004</v>
      </c>
      <c r="D23" s="62" t="s">
        <v>335</v>
      </c>
      <c r="E23" s="62">
        <v>4.0999999999999996</v>
      </c>
      <c r="F23" s="141">
        <v>7.39</v>
      </c>
      <c r="G23" s="6">
        <v>18.600000000000001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0">
        <v>0.95</v>
      </c>
      <c r="B24" s="140">
        <v>1</v>
      </c>
      <c r="C24" s="141">
        <f t="shared" si="0"/>
        <v>0.97499999999999998</v>
      </c>
      <c r="D24" s="62" t="s">
        <v>336</v>
      </c>
      <c r="E24" s="62">
        <v>4.2</v>
      </c>
      <c r="F24" s="141">
        <v>7.57</v>
      </c>
      <c r="G24" s="6">
        <v>18.7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0">
        <v>1</v>
      </c>
      <c r="B25" s="140">
        <v>1.05</v>
      </c>
      <c r="C25" s="141">
        <f t="shared" si="0"/>
        <v>1.0249999999999999</v>
      </c>
      <c r="D25" s="62" t="s">
        <v>337</v>
      </c>
      <c r="E25" s="62">
        <v>3.6</v>
      </c>
      <c r="F25" s="141">
        <v>6.55</v>
      </c>
      <c r="G25" s="6">
        <v>18.7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0">
        <v>1.05</v>
      </c>
      <c r="B26" s="140">
        <v>1.1000000000000001</v>
      </c>
      <c r="C26" s="141">
        <f t="shared" si="0"/>
        <v>1.0750000000000002</v>
      </c>
      <c r="D26" s="62" t="s">
        <v>338</v>
      </c>
      <c r="E26" s="62">
        <v>3.7</v>
      </c>
      <c r="F26" s="141">
        <v>6.86</v>
      </c>
      <c r="G26" s="6">
        <v>18.3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0">
        <v>1.1000000000000001</v>
      </c>
      <c r="B27" s="140">
        <v>1.1499999999999999</v>
      </c>
      <c r="C27" s="141">
        <f t="shared" si="0"/>
        <v>1.125</v>
      </c>
      <c r="D27" s="62" t="s">
        <v>339</v>
      </c>
      <c r="E27" s="62">
        <v>3.8</v>
      </c>
      <c r="F27" s="141">
        <v>7.02</v>
      </c>
      <c r="G27" s="6">
        <v>18.3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0">
        <v>1.1499999999999999</v>
      </c>
      <c r="B28" s="140">
        <v>1.2</v>
      </c>
      <c r="C28" s="141">
        <f t="shared" si="0"/>
        <v>1.1749999999999998</v>
      </c>
      <c r="D28" s="62" t="s">
        <v>340</v>
      </c>
      <c r="E28" s="62">
        <v>3.7</v>
      </c>
      <c r="F28" s="141">
        <v>6.78</v>
      </c>
      <c r="G28" s="6">
        <v>18.2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0">
        <v>1.2</v>
      </c>
      <c r="B29" s="140">
        <v>1.25</v>
      </c>
      <c r="C29" s="141">
        <f t="shared" si="0"/>
        <v>1.2250000000000001</v>
      </c>
      <c r="D29" s="62" t="s">
        <v>341</v>
      </c>
      <c r="E29" s="62">
        <v>3.8</v>
      </c>
      <c r="F29" s="141">
        <v>6.9</v>
      </c>
      <c r="G29" s="6">
        <v>18.5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0">
        <v>1.25</v>
      </c>
      <c r="B30" s="140">
        <v>1.3</v>
      </c>
      <c r="C30" s="141">
        <f t="shared" si="0"/>
        <v>1.2749999999999999</v>
      </c>
      <c r="D30" s="62" t="s">
        <v>342</v>
      </c>
      <c r="E30" s="62">
        <v>3</v>
      </c>
      <c r="F30" s="141">
        <v>5.49</v>
      </c>
      <c r="G30" s="6">
        <v>18.899999999999999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0">
        <v>1.3</v>
      </c>
      <c r="B31" s="140">
        <v>1.35</v>
      </c>
      <c r="C31" s="141">
        <f t="shared" si="0"/>
        <v>1.3250000000000002</v>
      </c>
      <c r="D31" s="62" t="s">
        <v>343</v>
      </c>
      <c r="E31" s="62">
        <v>3.4</v>
      </c>
      <c r="F31" s="141">
        <v>6.34</v>
      </c>
      <c r="G31" s="6">
        <v>18.3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0">
        <v>1.35</v>
      </c>
      <c r="B32" s="140">
        <v>1.4</v>
      </c>
      <c r="C32" s="141">
        <f t="shared" si="0"/>
        <v>1.375</v>
      </c>
      <c r="D32" s="62" t="s">
        <v>344</v>
      </c>
      <c r="E32" s="62">
        <v>3.4</v>
      </c>
      <c r="F32" s="141">
        <v>6.3</v>
      </c>
      <c r="G32" s="6">
        <v>18.7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0">
        <v>1.4</v>
      </c>
      <c r="B33" s="140">
        <v>1.45</v>
      </c>
      <c r="C33" s="141">
        <f t="shared" si="0"/>
        <v>1.4249999999999998</v>
      </c>
      <c r="D33" s="62" t="s">
        <v>345</v>
      </c>
      <c r="E33" s="62">
        <v>3.1</v>
      </c>
      <c r="F33" s="141">
        <v>5.74</v>
      </c>
      <c r="G33" s="6">
        <v>18.7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F34" s="141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1"/>
      <c r="F46" s="15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13"/>
    </sheetView>
  </sheetViews>
  <sheetFormatPr defaultColWidth="8.85546875" defaultRowHeight="12"/>
  <cols>
    <col min="1" max="1" width="19.42578125" customWidth="1"/>
    <col min="2" max="5" width="13.7109375" customWidth="1"/>
  </cols>
  <sheetData>
    <row r="1" spans="1:26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2" t="s">
        <v>95</v>
      </c>
      <c r="D2" s="152"/>
      <c r="E2" s="152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3" t="s">
        <v>1</v>
      </c>
      <c r="D3" s="153"/>
      <c r="E3" s="153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75">
      <c r="A4" s="69"/>
      <c r="B4" s="69"/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>
      <c r="A5" s="69"/>
      <c r="B5" s="69"/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>
      <c r="A6" s="69"/>
      <c r="B6" s="69"/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69"/>
      <c r="B7" s="69"/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69"/>
      <c r="B8" s="69"/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>
      <c r="A9" s="69"/>
      <c r="B9" s="69"/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>
      <c r="A10" s="69"/>
      <c r="B10" s="69"/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69"/>
      <c r="B11" s="69"/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69"/>
      <c r="B12" s="69"/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69"/>
      <c r="B13" s="69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69"/>
      <c r="B14" s="69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69"/>
      <c r="B16" s="69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69"/>
      <c r="B17" s="69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69"/>
      <c r="B18" s="69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69"/>
      <c r="B19" s="69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69"/>
      <c r="B20" s="69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69"/>
      <c r="B21" s="69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69"/>
      <c r="B22" s="69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69"/>
      <c r="B23" s="69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>
      <c r="A24" s="69"/>
      <c r="B24" s="69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>
      <c r="A25" s="69"/>
      <c r="B25" s="69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>
      <c r="A26" s="69"/>
      <c r="B26" s="69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>
      <c r="A27" s="69"/>
      <c r="B27" s="69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>
      <c r="A28" s="69"/>
      <c r="B28" s="69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>
      <c r="A29" s="69"/>
      <c r="B29" s="69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>
      <c r="A30" s="69"/>
      <c r="B30" s="69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>
      <c r="A31" s="69"/>
      <c r="B31" s="69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>
      <c r="A32" s="69"/>
      <c r="B32" s="69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>
      <c r="A33" s="69"/>
      <c r="B33" s="69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>
      <c r="A34" s="69"/>
      <c r="B34" s="69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>
      <c r="A35" s="69"/>
      <c r="B35" s="69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>
      <c r="A36" s="69"/>
      <c r="B36" s="69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>
      <c r="A37" s="69"/>
      <c r="B37" s="69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>
      <c r="A38" s="69"/>
      <c r="B38" s="69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>
      <c r="A39" s="69"/>
      <c r="B39" s="69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19" sqref="F19"/>
    </sheetView>
  </sheetViews>
  <sheetFormatPr defaultColWidth="10.7109375" defaultRowHeight="14.25"/>
  <cols>
    <col min="1" max="5" width="13.7109375" style="6" customWidth="1"/>
    <col min="6" max="6" width="26.7109375" style="6" customWidth="1"/>
    <col min="7" max="1025" width="10.7109375" style="6"/>
  </cols>
  <sheetData>
    <row r="1" spans="1:26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5" t="s">
        <v>105</v>
      </c>
      <c r="E2" s="155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6" t="s">
        <v>106</v>
      </c>
      <c r="E3" s="156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1.03</v>
      </c>
      <c r="D4" s="157"/>
      <c r="E4" s="157"/>
      <c r="F4" s="6" t="s">
        <v>316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0.24</v>
      </c>
      <c r="D5" s="157" t="s">
        <v>181</v>
      </c>
      <c r="E5" s="15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C6" s="6">
        <v>0.59</v>
      </c>
      <c r="D6" s="157" t="s">
        <v>181</v>
      </c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1.04</v>
      </c>
      <c r="B7" s="6">
        <v>1.46</v>
      </c>
      <c r="C7"/>
      <c r="D7" s="157"/>
      <c r="E7" s="157"/>
      <c r="F7" t="s">
        <v>315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1"/>
      <c r="E47" s="15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tabSelected="1" topLeftCell="A17" zoomScale="85" zoomScaleNormal="85" workbookViewId="0">
      <selection activeCell="H39" sqref="H39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>
        <v>0</v>
      </c>
      <c r="B4" s="140">
        <v>0.05</v>
      </c>
      <c r="C4" s="141">
        <f>AVERAGE(A4:B4)</f>
        <v>2.5000000000000001E-2</v>
      </c>
      <c r="D4" s="62" t="s">
        <v>317</v>
      </c>
      <c r="E4" s="6">
        <v>238.2</v>
      </c>
      <c r="F4" s="6">
        <v>7.9</v>
      </c>
      <c r="G4" s="6">
        <f>0.834*E4/(E4-F4)</f>
        <v>0.86260877116804169</v>
      </c>
      <c r="H4" s="6" t="s">
        <v>346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>
        <v>0.05</v>
      </c>
      <c r="B5" s="140">
        <v>0.1</v>
      </c>
      <c r="C5" s="141">
        <f t="shared" ref="C5:C32" si="0">AVERAGE(A5:B5)</f>
        <v>7.5000000000000011E-2</v>
      </c>
      <c r="D5" s="62" t="s">
        <v>318</v>
      </c>
      <c r="E5" s="6">
        <v>217.21</v>
      </c>
      <c r="F5" s="6">
        <v>1.94</v>
      </c>
      <c r="G5" s="6">
        <f t="shared" ref="G5:G32" si="1">0.834*E5/(E5-F5)</f>
        <v>0.84151595670553259</v>
      </c>
      <c r="H5" s="6" t="s">
        <v>347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>
        <v>0.1</v>
      </c>
      <c r="B6" s="140">
        <v>0.15</v>
      </c>
      <c r="C6" s="141">
        <f t="shared" si="0"/>
        <v>0.125</v>
      </c>
      <c r="D6" s="62" t="s">
        <v>319</v>
      </c>
      <c r="E6" s="6">
        <v>265.3</v>
      </c>
      <c r="F6" s="6">
        <v>8.1999999999999993</v>
      </c>
      <c r="G6" s="6">
        <f t="shared" si="1"/>
        <v>0.86059976662777116</v>
      </c>
      <c r="H6" s="6" t="s">
        <v>346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>
        <v>0.15</v>
      </c>
      <c r="B7" s="140">
        <v>0.2</v>
      </c>
      <c r="C7" s="141">
        <f t="shared" si="0"/>
        <v>0.17499999999999999</v>
      </c>
      <c r="D7" s="62" t="s">
        <v>320</v>
      </c>
      <c r="E7" s="6">
        <v>273.89999999999998</v>
      </c>
      <c r="F7" s="6">
        <v>23.1</v>
      </c>
      <c r="G7" s="6">
        <f t="shared" si="1"/>
        <v>0.91081578947368425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>
        <v>0.2</v>
      </c>
      <c r="B8" s="140">
        <v>0.24</v>
      </c>
      <c r="C8" s="141">
        <f t="shared" si="0"/>
        <v>0.22</v>
      </c>
      <c r="D8" s="62" t="s">
        <v>321</v>
      </c>
      <c r="E8" s="6">
        <v>203.2</v>
      </c>
      <c r="F8" s="6">
        <v>16.100000000000001</v>
      </c>
      <c r="G8" s="6">
        <f t="shared" si="1"/>
        <v>0.90576590058792084</v>
      </c>
      <c r="H8" s="6" t="s">
        <v>181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>
        <v>0.24</v>
      </c>
      <c r="B9" s="140">
        <v>0.3</v>
      </c>
      <c r="C9" s="141">
        <f t="shared" si="0"/>
        <v>0.27</v>
      </c>
      <c r="D9" s="62" t="s">
        <v>322</v>
      </c>
      <c r="E9" s="6">
        <v>330.7</v>
      </c>
      <c r="F9" s="6">
        <v>21.5</v>
      </c>
      <c r="G9" s="6">
        <f t="shared" si="1"/>
        <v>0.89199159120310467</v>
      </c>
      <c r="H9" s="6" t="s">
        <v>346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>
        <v>0.3</v>
      </c>
      <c r="B10" s="140">
        <v>0.35</v>
      </c>
      <c r="C10" s="141">
        <f t="shared" si="0"/>
        <v>0.32499999999999996</v>
      </c>
      <c r="D10" s="62" t="s">
        <v>323</v>
      </c>
      <c r="E10" s="6">
        <v>268.2</v>
      </c>
      <c r="F10" s="6">
        <v>8.6</v>
      </c>
      <c r="G10" s="6">
        <f t="shared" si="1"/>
        <v>0.86162865947611711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>
        <v>0.35</v>
      </c>
      <c r="B11" s="140">
        <v>0.4</v>
      </c>
      <c r="C11" s="141">
        <f t="shared" si="0"/>
        <v>0.375</v>
      </c>
      <c r="D11" s="62" t="s">
        <v>324</v>
      </c>
      <c r="E11" s="6">
        <v>250.6</v>
      </c>
      <c r="F11" s="6">
        <v>15.7</v>
      </c>
      <c r="G11" s="6">
        <f t="shared" si="1"/>
        <v>0.88974201787994878</v>
      </c>
      <c r="H11" s="6" t="s">
        <v>346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>
        <v>0.4</v>
      </c>
      <c r="B12" s="140">
        <v>0.45</v>
      </c>
      <c r="C12" s="141">
        <f t="shared" si="0"/>
        <v>0.42500000000000004</v>
      </c>
      <c r="D12" s="62" t="s">
        <v>325</v>
      </c>
      <c r="E12" s="6">
        <v>266.89999999999998</v>
      </c>
      <c r="F12" s="6">
        <v>19</v>
      </c>
      <c r="G12" s="6">
        <f t="shared" si="1"/>
        <v>0.89792093586123423</v>
      </c>
      <c r="H12" s="6" t="s">
        <v>346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>
        <v>0.45</v>
      </c>
      <c r="B13" s="140">
        <v>0.5</v>
      </c>
      <c r="C13" s="141">
        <f t="shared" si="0"/>
        <v>0.47499999999999998</v>
      </c>
      <c r="D13" s="62" t="s">
        <v>326</v>
      </c>
      <c r="E13" s="6">
        <v>254.3</v>
      </c>
      <c r="F13" s="6">
        <v>17.8</v>
      </c>
      <c r="G13" s="6">
        <f t="shared" si="1"/>
        <v>0.89677040169133193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>
        <v>0.5</v>
      </c>
      <c r="B14" s="140">
        <v>0.56000000000000005</v>
      </c>
      <c r="C14" s="141">
        <f t="shared" si="0"/>
        <v>0.53</v>
      </c>
      <c r="D14" s="62" t="s">
        <v>327</v>
      </c>
      <c r="E14" s="6">
        <v>363.9</v>
      </c>
      <c r="F14" s="6">
        <v>28.8</v>
      </c>
      <c r="G14" s="6">
        <f t="shared" si="1"/>
        <v>0.90567770814682191</v>
      </c>
      <c r="H14" s="6" t="s">
        <v>348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>
        <v>0.56000000000000005</v>
      </c>
      <c r="B15" s="140">
        <v>0.6</v>
      </c>
      <c r="C15" s="141">
        <f t="shared" si="0"/>
        <v>0.58000000000000007</v>
      </c>
      <c r="D15" s="62" t="s">
        <v>328</v>
      </c>
      <c r="E15" s="6">
        <v>176.8</v>
      </c>
      <c r="F15" s="6">
        <v>14.3</v>
      </c>
      <c r="G15" s="6">
        <f t="shared" si="1"/>
        <v>0.90739199999999998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>
        <v>0.6</v>
      </c>
      <c r="B16" s="140">
        <v>0.65</v>
      </c>
      <c r="C16" s="141">
        <f t="shared" si="0"/>
        <v>0.625</v>
      </c>
      <c r="D16" s="62" t="s">
        <v>329</v>
      </c>
      <c r="E16" s="6">
        <v>253.8</v>
      </c>
      <c r="F16" s="6">
        <v>22.4</v>
      </c>
      <c r="G16" s="6">
        <f t="shared" si="1"/>
        <v>0.91473292999135691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>
        <v>0.65</v>
      </c>
      <c r="B17" s="140">
        <v>0.7</v>
      </c>
      <c r="C17" s="141">
        <f t="shared" si="0"/>
        <v>0.67500000000000004</v>
      </c>
      <c r="D17" s="62" t="s">
        <v>330</v>
      </c>
      <c r="E17" s="6">
        <v>282.43</v>
      </c>
      <c r="F17" s="6">
        <v>22.4</v>
      </c>
      <c r="G17" s="6">
        <f t="shared" si="1"/>
        <v>0.90584401799792313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>
        <v>0.7</v>
      </c>
      <c r="B18" s="140">
        <v>0.75</v>
      </c>
      <c r="C18" s="141">
        <f t="shared" si="0"/>
        <v>0.72499999999999998</v>
      </c>
      <c r="D18" s="62" t="s">
        <v>331</v>
      </c>
      <c r="E18" s="6">
        <v>279.10000000000002</v>
      </c>
      <c r="F18" s="6">
        <v>21.9</v>
      </c>
      <c r="G18" s="6">
        <f t="shared" si="1"/>
        <v>0.90501321928460332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>
        <v>0.75</v>
      </c>
      <c r="B19" s="140">
        <v>0.8</v>
      </c>
      <c r="C19" s="141">
        <f t="shared" si="0"/>
        <v>0.77500000000000002</v>
      </c>
      <c r="D19" s="62" t="s">
        <v>332</v>
      </c>
      <c r="E19" s="6">
        <v>282.2</v>
      </c>
      <c r="F19" s="6">
        <v>19.5</v>
      </c>
      <c r="G19" s="6">
        <f t="shared" si="1"/>
        <v>0.89590711838599157</v>
      </c>
      <c r="H19" s="6" t="s">
        <v>349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>
        <v>0.8</v>
      </c>
      <c r="B20" s="140">
        <v>0.85</v>
      </c>
      <c r="C20" s="141">
        <f t="shared" si="0"/>
        <v>0.82499999999999996</v>
      </c>
      <c r="D20" s="62" t="s">
        <v>333</v>
      </c>
      <c r="E20" s="6">
        <v>274.5</v>
      </c>
      <c r="F20" s="6">
        <v>19.7</v>
      </c>
      <c r="G20" s="6">
        <f t="shared" si="1"/>
        <v>0.89848116169544734</v>
      </c>
      <c r="H20" s="6" t="s">
        <v>349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>
        <v>0.85</v>
      </c>
      <c r="B21" s="140">
        <v>0.9</v>
      </c>
      <c r="C21" s="141">
        <f t="shared" si="0"/>
        <v>0.875</v>
      </c>
      <c r="D21" s="62" t="s">
        <v>334</v>
      </c>
      <c r="E21" s="6">
        <v>247.2</v>
      </c>
      <c r="F21" s="6">
        <v>17.8</v>
      </c>
      <c r="G21" s="6">
        <f t="shared" si="1"/>
        <v>0.89871316477768093</v>
      </c>
      <c r="H21" s="6" t="s">
        <v>349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>
        <v>0.9</v>
      </c>
      <c r="B22" s="140">
        <v>0.95</v>
      </c>
      <c r="C22" s="141">
        <f t="shared" si="0"/>
        <v>0.92500000000000004</v>
      </c>
      <c r="D22" s="62" t="s">
        <v>335</v>
      </c>
      <c r="E22" s="6">
        <v>266.10000000000002</v>
      </c>
      <c r="F22" s="6">
        <v>18.5</v>
      </c>
      <c r="G22" s="6">
        <f t="shared" si="1"/>
        <v>0.89631421647819054</v>
      </c>
      <c r="H22" s="6" t="s">
        <v>350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>
        <v>0.95</v>
      </c>
      <c r="B23" s="140">
        <v>1</v>
      </c>
      <c r="C23" s="141">
        <f t="shared" si="0"/>
        <v>0.97499999999999998</v>
      </c>
      <c r="D23" s="62" t="s">
        <v>336</v>
      </c>
      <c r="E23" s="6">
        <v>239</v>
      </c>
      <c r="F23" s="6">
        <v>16.34</v>
      </c>
      <c r="G23" s="6">
        <f t="shared" si="1"/>
        <v>0.895203449205066</v>
      </c>
      <c r="H23" s="6" t="s">
        <v>346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>
        <v>1</v>
      </c>
      <c r="B24" s="140">
        <v>1.05</v>
      </c>
      <c r="C24" s="141">
        <f t="shared" si="0"/>
        <v>1.0249999999999999</v>
      </c>
      <c r="D24" s="62" t="s">
        <v>337</v>
      </c>
      <c r="E24" s="6">
        <v>256.44</v>
      </c>
      <c r="F24" s="6">
        <v>18.7</v>
      </c>
      <c r="G24" s="6">
        <f t="shared" si="1"/>
        <v>0.89960023555144275</v>
      </c>
      <c r="H24" s="6" t="s">
        <v>351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>
        <v>1.05</v>
      </c>
      <c r="B25" s="140">
        <v>1.1000000000000001</v>
      </c>
      <c r="C25" s="141">
        <f t="shared" si="0"/>
        <v>1.0750000000000002</v>
      </c>
      <c r="D25" s="62" t="s">
        <v>338</v>
      </c>
      <c r="E25" s="6">
        <v>268.60000000000002</v>
      </c>
      <c r="F25" s="6">
        <v>22.4</v>
      </c>
      <c r="G25" s="6">
        <f t="shared" si="1"/>
        <v>0.90987977254264829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>
        <v>1.1000000000000001</v>
      </c>
      <c r="B26" s="140">
        <v>1.1499999999999999</v>
      </c>
      <c r="C26" s="141">
        <f t="shared" si="0"/>
        <v>1.125</v>
      </c>
      <c r="D26" s="62" t="s">
        <v>339</v>
      </c>
      <c r="E26" s="6">
        <v>275.60000000000002</v>
      </c>
      <c r="F26" s="6">
        <v>22.4</v>
      </c>
      <c r="G26" s="6">
        <f t="shared" si="1"/>
        <v>0.90778199052132702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>
        <v>1.1499999999999999</v>
      </c>
      <c r="B27" s="140">
        <v>1.2</v>
      </c>
      <c r="C27" s="141">
        <f t="shared" si="0"/>
        <v>1.1749999999999998</v>
      </c>
      <c r="D27" s="62" t="s">
        <v>340</v>
      </c>
      <c r="E27" s="6">
        <v>270.89999999999998</v>
      </c>
      <c r="F27" s="6">
        <v>23.5</v>
      </c>
      <c r="G27" s="6">
        <f t="shared" si="1"/>
        <v>0.91321988682295874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140">
        <v>1.2</v>
      </c>
      <c r="B28" s="140">
        <v>1.25</v>
      </c>
      <c r="C28" s="141">
        <f t="shared" si="0"/>
        <v>1.2250000000000001</v>
      </c>
      <c r="D28" s="62" t="s">
        <v>341</v>
      </c>
      <c r="E28" s="6">
        <v>268.8</v>
      </c>
      <c r="F28" s="6">
        <v>23.4</v>
      </c>
      <c r="G28" s="6">
        <f t="shared" si="1"/>
        <v>0.91352567237163818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140">
        <v>1.25</v>
      </c>
      <c r="B29" s="140">
        <v>1.3</v>
      </c>
      <c r="C29" s="141">
        <f t="shared" si="0"/>
        <v>1.2749999999999999</v>
      </c>
      <c r="D29" s="62" t="s">
        <v>342</v>
      </c>
      <c r="E29" s="6">
        <v>290.89999999999998</v>
      </c>
      <c r="F29" s="6">
        <v>25.3</v>
      </c>
      <c r="G29" s="6">
        <f t="shared" si="1"/>
        <v>0.91344352409638552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140">
        <v>1.3</v>
      </c>
      <c r="B30" s="140">
        <v>1.35</v>
      </c>
      <c r="C30" s="141">
        <f t="shared" si="0"/>
        <v>1.3250000000000002</v>
      </c>
      <c r="D30" s="62" t="s">
        <v>343</v>
      </c>
      <c r="E30" s="6">
        <v>290.10000000000002</v>
      </c>
      <c r="F30" s="6">
        <v>25.6</v>
      </c>
      <c r="G30" s="6">
        <f t="shared" si="1"/>
        <v>0.91471984877126655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140">
        <v>1.35</v>
      </c>
      <c r="B31" s="140">
        <v>1.4</v>
      </c>
      <c r="C31" s="141">
        <f t="shared" si="0"/>
        <v>1.375</v>
      </c>
      <c r="D31" s="62" t="s">
        <v>344</v>
      </c>
      <c r="E31" s="6">
        <v>295.60000000000002</v>
      </c>
      <c r="F31" s="6">
        <v>24.47</v>
      </c>
      <c r="G31" s="6">
        <f t="shared" si="1"/>
        <v>0.90927009183786378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140">
        <v>1.4</v>
      </c>
      <c r="B32" s="140">
        <v>1.45</v>
      </c>
      <c r="C32" s="141">
        <f t="shared" si="0"/>
        <v>1.4249999999999998</v>
      </c>
      <c r="D32" s="62" t="s">
        <v>345</v>
      </c>
      <c r="E32" s="6">
        <v>267.10000000000002</v>
      </c>
      <c r="F32" s="6">
        <v>22.2</v>
      </c>
      <c r="G32" s="6">
        <f t="shared" si="1"/>
        <v>0.90960146998775004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H34" s="6" t="s">
        <v>356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H35" s="6" t="s">
        <v>355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5546875" defaultRowHeight="14.25"/>
  <cols>
    <col min="1" max="1" width="13.5703125" style="6" customWidth="1"/>
    <col min="2" max="2" width="11.85546875" style="6" customWidth="1"/>
    <col min="3" max="3" width="11.42578125" style="6" customWidth="1"/>
    <col min="4" max="5" width="8.85546875" style="6"/>
    <col min="6" max="32" width="10" style="6" customWidth="1"/>
    <col min="33" max="1025" width="8.85546875" style="6"/>
  </cols>
  <sheetData>
    <row r="1" spans="1:39" ht="15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8" t="s">
        <v>122</v>
      </c>
      <c r="G2" s="158"/>
      <c r="H2" s="158" t="s">
        <v>123</v>
      </c>
      <c r="I2" s="158"/>
      <c r="J2" s="159" t="s">
        <v>124</v>
      </c>
      <c r="K2" s="159"/>
      <c r="L2" s="158" t="s">
        <v>125</v>
      </c>
      <c r="M2" s="158"/>
      <c r="N2" s="159" t="s">
        <v>126</v>
      </c>
      <c r="O2" s="159"/>
      <c r="P2" s="161" t="s">
        <v>127</v>
      </c>
      <c r="Q2" s="161"/>
      <c r="R2" s="155" t="s">
        <v>128</v>
      </c>
      <c r="S2" s="155"/>
      <c r="T2" s="161" t="s">
        <v>129</v>
      </c>
      <c r="U2" s="161"/>
      <c r="V2" s="155" t="s">
        <v>130</v>
      </c>
      <c r="W2" s="155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30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40625" defaultRowHeight="14.25"/>
  <cols>
    <col min="1" max="2" width="12.28515625" style="84" customWidth="1"/>
    <col min="3" max="13" width="12.28515625" style="6" customWidth="1"/>
    <col min="14" max="1023" width="9.140625" style="6"/>
  </cols>
  <sheetData>
    <row r="1" spans="1:26" ht="15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5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8515625" defaultRowHeight="14.25"/>
  <cols>
    <col min="1" max="13" width="13.28515625" style="86"/>
    <col min="14" max="14" width="4.7109375" style="86" customWidth="1"/>
    <col min="15" max="16" width="13.28515625" style="86"/>
    <col min="17" max="17" width="4.7109375" style="86" customWidth="1"/>
    <col min="18" max="19" width="13.28515625" style="86"/>
    <col min="20" max="20" width="4.7109375" style="86" customWidth="1"/>
    <col min="21" max="23" width="13.28515625" style="86"/>
    <col min="24" max="24" width="4.7109375" style="86" customWidth="1"/>
    <col min="25" max="27" width="13.28515625" style="86"/>
    <col min="28" max="28" width="4.7109375" style="86" customWidth="1"/>
    <col min="29" max="30" width="13.28515625" style="86"/>
    <col min="31" max="31" width="4.7109375" style="86" customWidth="1"/>
    <col min="32" max="1023" width="13.28515625" style="86"/>
    <col min="1024" max="1025" width="13.285156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5" t="s">
        <v>92</v>
      </c>
      <c r="I1" s="155"/>
      <c r="J1" s="155" t="s">
        <v>93</v>
      </c>
      <c r="K1" s="155"/>
      <c r="L1" s="60"/>
      <c r="M1" s="58" t="s">
        <v>95</v>
      </c>
      <c r="N1" s="9"/>
      <c r="O1" s="19" t="s">
        <v>141</v>
      </c>
      <c r="P1" s="19"/>
      <c r="Q1" s="9"/>
      <c r="R1" s="158" t="s">
        <v>122</v>
      </c>
      <c r="S1" s="158"/>
      <c r="T1" s="9"/>
      <c r="U1" s="58" t="s">
        <v>85</v>
      </c>
      <c r="V1" s="58" t="s">
        <v>86</v>
      </c>
      <c r="W1" s="19"/>
      <c r="X1" s="9"/>
      <c r="Y1" s="162" t="s">
        <v>142</v>
      </c>
      <c r="Z1" s="162"/>
      <c r="AA1" s="162"/>
      <c r="AB1" s="9"/>
      <c r="AC1" s="163" t="s">
        <v>143</v>
      </c>
      <c r="AD1" s="163"/>
      <c r="AE1" s="9"/>
    </row>
    <row r="2" spans="1:31" ht="45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5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5546875" defaultRowHeight="12"/>
  <cols>
    <col min="1" max="1" width="15.42578125" customWidth="1"/>
    <col min="2" max="2" width="13.85546875" customWidth="1"/>
    <col min="3" max="3" width="15" customWidth="1"/>
    <col min="4" max="4" width="13.7109375" customWidth="1"/>
    <col min="5" max="5" width="14.85546875" customWidth="1"/>
    <col min="6" max="6" width="11" customWidth="1"/>
    <col min="7" max="7" width="10.5703125" customWidth="1"/>
    <col min="8" max="8" width="11.85546875" customWidth="1"/>
    <col min="1015" max="1025" width="9.140625" customWidth="1"/>
  </cols>
  <sheetData>
    <row r="1" spans="1:26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75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75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75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75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75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75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40625" defaultRowHeight="12"/>
  <cols>
    <col min="1" max="6" width="13.140625" style="94"/>
    <col min="7" max="7" width="13.140625" style="95"/>
    <col min="8" max="14" width="13.140625" style="94"/>
    <col min="15" max="15" width="13.140625" style="95"/>
    <col min="16" max="18" width="13.140625" style="94"/>
    <col min="19" max="19" width="13.140625" style="96"/>
    <col min="20" max="1023" width="13.1406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65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109375" defaultRowHeight="12"/>
  <cols>
    <col min="1" max="1" width="27" customWidth="1"/>
    <col min="2" max="2" width="50.28515625" customWidth="1"/>
    <col min="3" max="3" width="15.28515625" customWidth="1"/>
    <col min="4" max="4" width="30.28515625" customWidth="1"/>
    <col min="5" max="5" width="14.85546875" customWidth="1"/>
    <col min="6" max="6" width="26" customWidth="1"/>
    <col min="7" max="7" width="14.42578125" customWidth="1"/>
    <col min="8" max="8" width="12.42578125" customWidth="1"/>
    <col min="13" max="13" width="11.5703125" customWidth="1"/>
  </cols>
  <sheetData>
    <row r="1" spans="1:13" ht="15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4" t="s">
        <v>176</v>
      </c>
      <c r="J1" s="164"/>
      <c r="K1" s="164"/>
      <c r="L1" s="164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5">
      <c r="A14" s="138" t="s">
        <v>3</v>
      </c>
      <c r="B14" t="s">
        <v>271</v>
      </c>
      <c r="F14" t="s">
        <v>272</v>
      </c>
    </row>
    <row r="15" spans="1:13" ht="15">
      <c r="A15" s="138" t="s">
        <v>273</v>
      </c>
      <c r="B15" t="s">
        <v>274</v>
      </c>
      <c r="F15" t="s">
        <v>275</v>
      </c>
    </row>
    <row r="16" spans="1:13" ht="15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Evgenii Salganik</cp:lastModifiedBy>
  <cp:revision>284</cp:revision>
  <dcterms:created xsi:type="dcterms:W3CDTF">2014-01-23T22:52:05Z</dcterms:created>
  <dcterms:modified xsi:type="dcterms:W3CDTF">2026-02-17T16:31:32Z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