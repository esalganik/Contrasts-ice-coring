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a\15jul2025coring\"/>
    </mc:Choice>
  </mc:AlternateContent>
  <xr:revisionPtr revIDLastSave="0" documentId="13_ncr:1_{9850C27F-9469-4E52-A9BD-052D35979DAF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3" i="3" l="1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<sst xmlns="http://schemas.openxmlformats.org/spreadsheetml/2006/main" count="738" uniqueCount="377">
  <si>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</si>
  <si>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</si>
  <si>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</si>
  <si>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</si>
  <si>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</si>
  <si>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</si>
  <si>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</si>
  <si>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</si>
  <si>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</si>
  <si>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</si>
  <si>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</si>
  <si>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</si>
  <si>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</si>
  <si>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</si>
  <si>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</si>
  <si>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</si>
  <si>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</si>
  <si>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</si>
  <si>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</si>
  <si>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</si>
  <si>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</si>
  <si>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</si>
  <si>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</si>
  <si>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</si>
  <si>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</si>
  <si>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</si>
  <si>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</si>
  <si>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</si>
  <si>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</si>
  <si>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</si>
  <si>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</si>
  <si>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</si>
  <si>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</si>
  <si>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</si>
  <si>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</si>
  <si>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</si>
  <si>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</si>
  <si>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</si>
  <si>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</si>
  <si>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</si>
  <si>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</si>
  <si>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</si>
  <si>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</si>
  <si>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</si>
  <si>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</si>
  <si>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</si>
  <si>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</si>
  <si>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</si>
  <si>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</si>
  <si>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</si>
  <si>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</si>
  <si>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</si>
  <si>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</si>
  <si>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</si>
  <si>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</si>
  <si>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</si>
  <si>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</si>
  <si>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</si>
  <si>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</si>
  <si>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</si>
  <si>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</si>
  <si>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</si>
  <si>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</si>
  <si>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</si>
  <si>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</si>
  <si>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</si>
  <si>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</si>
  <si>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</si>
  <si>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</si>
  <si>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</si>
  <si>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</si>
  <si>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</si>
  <si>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</si>
  <si>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</si>
  <si>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</si>
  <si>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</si>
  <si>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</si>
  <si>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</si>
  <si>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</si>
  <si>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</si>
  <si>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</si>
  <si>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</si>
  <si>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</si>
  <si>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</si>
  <si>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</si>
  <si>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</si>
  <si>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</si>
  <si>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</si>
  <si>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</si>
  <si>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</si>
  <si>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</si>
  <si>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</si>
  <si>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</si>
  <si>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</si>
  <si>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</si>
  <si>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</si>
  <si>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</si>
  <si>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</si>
  <si>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</si>
  <si>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</si>
  <si>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</si>
  <si>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</si>
  <si>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</si>
  <si>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</si>
  <si>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</si>
  <si>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</si>
  <si>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</si>
  <si>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</si>
  <si>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</si>
  <si>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</si>
  <si>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</si>
  <si>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</si>
  <si>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</si>
  <si>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</si>
  <si>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</si>
  <si>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</si>
  <si>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</si>
  <si>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</si>
  <si>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</si>
  <si>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</si>
  <si>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</si>
  <si>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</si>
  <si>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</si>
  <si>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</si>
  <si>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</si>
  <si>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</si>
  <si>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</si>
  <si>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</si>
  <si>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</si>
  <si>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</si>
  <si>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</si>
  <si>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</si>
  <si>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</si>
  <si>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</si>
  <si>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</si>
  <si>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</si>
  <si>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</si>
  <si>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</si>
  <si>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</si>
  <si>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</si>
  <si>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</si>
  <si>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</si>
  <si>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</si>
  <si>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</si>
  <si>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</si>
  <si>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</si>
  <si>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</si>
  <si>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</si>
  <si>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</si>
  <si>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</si>
  <si>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</si>
  <si>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</si>
  <si>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</si>
  <si>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</si>
  <si>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</si>
  <si>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</si>
  <si>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</si>
  <si>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</si>
  <si>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</si>
  <si>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</si>
  <si>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</si>
  <si>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</si>
  <si>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</si>
  <si>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</si>
  <si>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</si>
  <si>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</si>
  <si>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</si>
  <si>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</si>
  <si>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</si>
  <si>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</si>
  <si>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</si>
  <si>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</si>
  <si>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</si>
  <si>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</si>
  <si>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</si>
  <si>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</si>
  <si>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</si>
  <si>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</si>
  <si>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</si>
  <si>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</si>
  <si>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</si>
  <si>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</si>
  <si>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</si>
  <si>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</si>
  <si>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</si>
  <si>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</si>
  <si>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</si>
  <si>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</si>
  <si>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</si>
  <si>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</si>
  <si>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</si>
  <si>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</si>
  <si>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</si>
  <si>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</si>
  <si>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</si>
  <si>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</si>
  <si>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</si>
  <si>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</si>
  <si>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</si>
  <si>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</si>
  <si>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</si>
  <si>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</si>
  <si>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</si>
  <si>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</si>
  <si>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</si>
  <si>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</si>
  <si>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</si>
  <si>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</si>
  <si>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</si>
  <si>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</si>
  <si>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</si>
  <si>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</si>
  <si>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</si>
  <si>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</si>
  <si>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</si>
  <si>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</si>
  <si>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</si>
  <si>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</si>
  <si>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</si>
  <si>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</si>
  <si>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</si>
  <si>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</si>
  <si>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</si>
  <si>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</si>
  <si>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</si>
  <si>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</si>
  <si>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</si>
  <si>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</si>
  <si>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</si>
  <si>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</si>
  <si>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</si>
  <si>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</si>
  <si>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</si>
  <si>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</si>
  <si>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</si>
  <si>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</si>
  <si>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</si>
  <si>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</si>
  <si>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</si>
  <si>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</si>
  <si>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</si>
  <si>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</si>
  <si>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</si>
  <si>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</si>
  <si>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</si>
  <si>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</si>
  <si>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</si>
  <si>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</si>
  <si>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</si>
  <si>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</si>
  <si>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</si>
  <si>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</si>
  <si>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</si>
  <si>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</si>
  <si>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</si>
  <si>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</si>
  <si>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</si>
  <si>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</si>
  <si>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</si>
  <si>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</si>
  <si>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</si>
  <si>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</si>
  <si>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</si>
  <si>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</si>
  <si>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</si>
  <si>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</si>
  <si>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</si>
  <si>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</si>
  <si>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</si>
  <si>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</si>
  <si>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</si>
  <si>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</si>
  <si>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</si>
  <si>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</si>
  <si>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</si>
  <si>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</si>
  <si>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</si>
  <si>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</si>
  <si>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</si>
  <si>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</si>
  <si>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</si>
  <si>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</si>
  <si>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</si>
  <si>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</si>
  <si>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</si>
  <si>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</si>
  <si>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</si>
  <si>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</si>
  <si>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</si>
  <si>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</si>
  <si>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</si>
  <si>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</si>
  <si>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</si>
  <si>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</si>
  <si>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</si>
  <si>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</si>
  <si>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</si>
  <si>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core contains some scatter layer/refrozen snow layer on the top 4-6 cm</t>
  </si>
  <si>
    <t>CONTRATS-PS_149</t>
  </si>
  <si>
    <t>Dmitry Divine</t>
  </si>
  <si>
    <t>9 cm Kovacs</t>
  </si>
  <si>
    <t>Emiliano Cimoli</t>
  </si>
  <si>
    <t xml:space="preserve">T-probe </t>
  </si>
  <si>
    <t>20250715-PS_149-FYI</t>
  </si>
  <si>
    <t>Testo (NPI)</t>
  </si>
  <si>
    <t>PS149-2a</t>
  </si>
  <si>
    <t>Lena Eggers</t>
  </si>
  <si>
    <t>borehole</t>
  </si>
  <si>
    <t>mark start 319</t>
  </si>
  <si>
    <t>mark end 321</t>
  </si>
  <si>
    <t>20250715-PS149_16-1-SI_corer_9cm-019-SYI-RHO</t>
  </si>
  <si>
    <t>20250715-PS149_16-1-SI_corer_9cm-019-SYI-T</t>
  </si>
  <si>
    <t>20250715-PS149_16-1-SI_corer_9cm-019-SYI-REP</t>
  </si>
  <si>
    <t>all ECO and BGC cores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</si>
  <si>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</si>
  <si>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</si>
  <si>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</si>
  <si>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</si>
  <si>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</si>
  <si>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</si>
  <si>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</si>
  <si>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</si>
  <si>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</si>
  <si>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</si>
  <si>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</si>
  <si>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</si>
  <si>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</si>
  <si>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</si>
  <si>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</si>
  <si>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</si>
  <si>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</si>
  <si>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</si>
  <si>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</si>
  <si>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</si>
  <si>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</si>
  <si>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</si>
  <si>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</si>
  <si>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</si>
  <si>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</si>
  <si>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</si>
  <si>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</si>
  <si>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</si>
  <si>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</si>
  <si>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section 1</t>
  </si>
  <si>
    <t>section 2</t>
  </si>
  <si>
    <t>PS149-DO18-016</t>
  </si>
  <si>
    <t>PS149-DO18-017</t>
  </si>
  <si>
    <t>PS149-DO18-018</t>
  </si>
  <si>
    <t>PS149-DO18-019</t>
  </si>
  <si>
    <t>PS149-DO18-020</t>
  </si>
  <si>
    <t>PS149-DO18-021</t>
  </si>
  <si>
    <t>PS149-DO18-022</t>
  </si>
  <si>
    <t>PS149-DO18-023</t>
  </si>
  <si>
    <t>PS149-DO18-024</t>
  </si>
  <si>
    <t>PS149-DO18-025</t>
  </si>
  <si>
    <t>PS149-DO18-026</t>
  </si>
  <si>
    <t>PS149-DO18-027</t>
  </si>
  <si>
    <t>PS149-DO18-028</t>
  </si>
  <si>
    <t>PS149-DO18-029</t>
  </si>
  <si>
    <t>PS149-DO18-030</t>
  </si>
  <si>
    <t>PS149-DO18-031</t>
  </si>
  <si>
    <t>PS149-DO18-032</t>
  </si>
  <si>
    <t>PS149-DO18-033</t>
  </si>
  <si>
    <t>PS149-DO18-034</t>
  </si>
  <si>
    <t>PS149-DO18-035</t>
  </si>
  <si>
    <t>PS149-DO18-036</t>
  </si>
  <si>
    <t>PS149-DO18-037</t>
  </si>
  <si>
    <t>PS149-DO18-038</t>
  </si>
  <si>
    <t>PS149-DO18-039</t>
  </si>
  <si>
    <t>PS149-DO18-040</t>
  </si>
  <si>
    <t>PS149-DO18-041</t>
  </si>
  <si>
    <t>PS149-DO18-042</t>
  </si>
  <si>
    <t>PS149-DO18-043</t>
  </si>
  <si>
    <t>PS149-DO18-044</t>
  </si>
  <si>
    <t>conductivity probe 67953, S/N 11440477</t>
  </si>
  <si>
    <t>Coring site FYI part of the older floe</t>
  </si>
  <si>
    <t>Ice Station 2a (event 16-1), coring on the main coring site.  First considered as SYI, but appears to be most likely FYI acording to density and salinity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</si>
</sst>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5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SALO18!$C$5:$C$33</c:f>
              <c:numCache>
                <c:formatCode>0.00</c:formatCode>
                <c:ptCount val="29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1.0750000000000002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</c:numCache>
            </c:numRef>
          </c:xVal>
          <c:yVal>
            <c:numRef>
              <c:f>SALO18!$E$5:$E$33</c:f>
              <c:numCache>
                <c:formatCode>General</c:formatCode>
                <c:ptCount val="29"/>
                <c:pt idx="0">
                  <c:v>0.1</c:v>
                </c:pt>
                <c:pt idx="1">
                  <c:v>0.3</c:v>
                </c:pt>
                <c:pt idx="2">
                  <c:v>0.9</c:v>
                </c:pt>
                <c:pt idx="3">
                  <c:v>1.7</c:v>
                </c:pt>
                <c:pt idx="4">
                  <c:v>2</c:v>
                </c:pt>
                <c:pt idx="5">
                  <c:v>2.6</c:v>
                </c:pt>
                <c:pt idx="6">
                  <c:v>3.2</c:v>
                </c:pt>
                <c:pt idx="7">
                  <c:v>3.4</c:v>
                </c:pt>
                <c:pt idx="8">
                  <c:v>3.7</c:v>
                </c:pt>
                <c:pt idx="9">
                  <c:v>4.2</c:v>
                </c:pt>
                <c:pt idx="10">
                  <c:v>3.4</c:v>
                </c:pt>
                <c:pt idx="11">
                  <c:v>3.7</c:v>
                </c:pt>
                <c:pt idx="12">
                  <c:v>3.8</c:v>
                </c:pt>
                <c:pt idx="13">
                  <c:v>4.0999999999999996</c:v>
                </c:pt>
                <c:pt idx="14">
                  <c:v>3.9</c:v>
                </c:pt>
                <c:pt idx="15">
                  <c:v>4.3</c:v>
                </c:pt>
                <c:pt idx="16">
                  <c:v>4.5</c:v>
                </c:pt>
                <c:pt idx="17">
                  <c:v>4.4000000000000004</c:v>
                </c:pt>
                <c:pt idx="18">
                  <c:v>4.5999999999999996</c:v>
                </c:pt>
                <c:pt idx="19">
                  <c:v>4.5</c:v>
                </c:pt>
                <c:pt idx="20">
                  <c:v>3.6</c:v>
                </c:pt>
                <c:pt idx="21">
                  <c:v>4</c:v>
                </c:pt>
                <c:pt idx="22">
                  <c:v>4.0999999999999996</c:v>
                </c:pt>
                <c:pt idx="23">
                  <c:v>3.9</c:v>
                </c:pt>
                <c:pt idx="24">
                  <c:v>3.9</c:v>
                </c:pt>
                <c:pt idx="25">
                  <c:v>3.6</c:v>
                </c:pt>
                <c:pt idx="26">
                  <c:v>3.6</c:v>
                </c:pt>
                <c:pt idx="27">
                  <c:v>3.4</c:v>
                </c:pt>
                <c:pt idx="28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F6-45DC-9252-A87F6A353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52127"/>
        <c:axId val="60852607"/>
      </c:scatterChart>
      <c:valAx>
        <c:axId val="6085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852607"/>
        <c:crosses val="autoZero"/>
        <c:crossBetween val="midCat"/>
      </c:valAx>
      <c:valAx>
        <c:axId val="608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085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537881</xdr:colOff>
      <xdr:row>14</xdr:row>
      <xdr:rowOff>44824</xdr:rowOff>
    </xdr:from>
    <xdr:to>
      <xdr:col>18</xdr:col>
      <xdr:colOff>573740</xdr:colOff>
      <xdr:row>28</xdr:row>
      <xdr:rowOff>125506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2C365-BE9E-0FF7-C92C-4B0DB370D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23" sqref="C23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2" t="s">
        <v>303</v>
      </c>
      <c r="D1" s="142"/>
      <c r="E1" s="142"/>
      <c r="F1" s="9"/>
    </row>
    <row r="2" spans="1:7" ht="14.4">
      <c r="A2" s="7" t="s">
        <v>2</v>
      </c>
      <c r="B2" s="8"/>
      <c r="C2" s="10">
        <v>45853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0.37777777777777777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2"/>
      <c r="D4" s="142"/>
      <c r="E4" s="142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1.4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1.33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1.44</v>
      </c>
      <c r="D10" s="9" t="s">
        <v>13</v>
      </c>
      <c r="E10" s="9"/>
      <c r="F10" s="9"/>
      <c r="G10" s="6" t="s">
        <v>297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2" t="s">
        <v>300</v>
      </c>
      <c r="D13" s="142"/>
      <c r="E13" s="142"/>
      <c r="F13" s="142"/>
    </row>
    <row r="14" spans="1:7">
      <c r="B14" s="6" t="s">
        <v>302</v>
      </c>
      <c r="C14" s="6" t="s">
        <v>304</v>
      </c>
      <c r="D14" s="5"/>
      <c r="E14" s="5"/>
      <c r="F14" s="5"/>
    </row>
    <row r="15" spans="1:7">
      <c r="B15" s="6" t="s">
        <v>374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topLeftCell="A15" zoomScale="85" zoomScaleNormal="85" workbookViewId="0">
      <selection activeCell="A42" sqref="A42:F42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3" t="s">
        <v>19</v>
      </c>
      <c r="B2" s="143"/>
      <c r="C2" s="143"/>
      <c r="D2" s="143"/>
      <c r="E2" s="143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4" t="s">
        <v>298</v>
      </c>
      <c r="D3" s="144"/>
      <c r="E3" s="14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5" t="s">
        <v>375</v>
      </c>
      <c r="D4" s="145"/>
      <c r="E4" s="145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3" t="s">
        <v>22</v>
      </c>
      <c r="B5" s="143"/>
      <c r="C5" s="143"/>
      <c r="D5" s="143"/>
      <c r="E5" s="143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6" t="s">
        <v>23</v>
      </c>
      <c r="D6" s="146"/>
      <c r="E6" s="146"/>
      <c r="F6" s="143" t="s">
        <v>24</v>
      </c>
      <c r="G6" s="143"/>
      <c r="H6" s="143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59.442999999999998</v>
      </c>
      <c r="E8" s="31"/>
      <c r="F8">
        <v>84</v>
      </c>
      <c r="G8" s="30">
        <v>58.303199999999997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13</v>
      </c>
      <c r="D9" s="34">
        <v>56.441200000000002</v>
      </c>
      <c r="E9" s="35"/>
      <c r="F9">
        <v>14</v>
      </c>
      <c r="G9" s="34">
        <v>3.4748000000000001</v>
      </c>
      <c r="I9" s="22" t="s">
        <v>308</v>
      </c>
      <c r="J9" s="22" t="s">
        <v>309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7" t="s">
        <v>32</v>
      </c>
      <c r="B10" s="147"/>
      <c r="C10" s="147"/>
      <c r="D10" s="147"/>
      <c r="E10" s="147"/>
      <c r="F10" s="143"/>
      <c r="G10" s="143"/>
      <c r="H10" s="143"/>
      <c r="I10" s="143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45853</v>
      </c>
      <c r="D12" s="38">
        <v>45853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0.37777777777777777</v>
      </c>
      <c r="D13" s="39">
        <v>0.46666666666666667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7" t="s">
        <v>39</v>
      </c>
      <c r="B15" s="147"/>
      <c r="C15" s="147"/>
      <c r="D15" s="147"/>
      <c r="E15" s="147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7.0000000000000007E-2</v>
      </c>
      <c r="D16">
        <v>0.05</v>
      </c>
      <c r="E16">
        <v>0.05</v>
      </c>
      <c r="F16">
        <v>0.04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3" t="s">
        <v>53</v>
      </c>
      <c r="B24" s="143"/>
      <c r="C24" s="143"/>
      <c r="D24" s="143"/>
      <c r="E24" s="14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0.6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-1.2</v>
      </c>
      <c r="G28" s="22" t="s">
        <v>307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3" t="s">
        <v>63</v>
      </c>
      <c r="B29" s="143"/>
      <c r="C29" s="143"/>
      <c r="D29" s="143"/>
      <c r="E29" s="14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305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310</v>
      </c>
      <c r="D31" s="52" t="s">
        <v>311</v>
      </c>
      <c r="E31" s="52" t="s">
        <v>312</v>
      </c>
      <c r="F31" s="52" t="s">
        <v>313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299</v>
      </c>
      <c r="D32" t="s">
        <v>301</v>
      </c>
      <c r="E32" t="s">
        <v>306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8"/>
      <c r="D33" s="148"/>
      <c r="E33" s="148"/>
      <c r="F33" s="148"/>
      <c r="G33" s="148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3" t="s">
        <v>68</v>
      </c>
      <c r="B35" s="143"/>
      <c r="C35" s="143"/>
      <c r="D35" s="143"/>
      <c r="E35" s="14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9" t="s">
        <v>79</v>
      </c>
      <c r="B41" s="149"/>
      <c r="C41" s="149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0" t="s">
        <v>376</v>
      </c>
      <c r="B42" s="150"/>
      <c r="C42" s="150"/>
      <c r="D42" s="150"/>
      <c r="E42" s="150"/>
      <c r="F42" s="150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12" zoomScale="85" zoomScaleNormal="85" workbookViewId="0">
      <selection activeCell="J35" sqref="J3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" t="s">
        <v>314</v>
      </c>
      <c r="E5" s="62">
        <v>0.1</v>
      </c>
      <c r="F5" s="6">
        <v>0.374</v>
      </c>
      <c r="G5" s="6">
        <v>20</v>
      </c>
      <c r="I5" s="6" t="s">
        <v>345</v>
      </c>
      <c r="K5" s="6" t="s">
        <v>345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1">
        <v>0.1</v>
      </c>
      <c r="C6" s="141">
        <f t="shared" ref="C6:C33" si="0">AVERAGE(A6:B6)</f>
        <v>7.5000000000000011E-2</v>
      </c>
      <c r="D6" s="6" t="s">
        <v>315</v>
      </c>
      <c r="E6" s="62">
        <v>0.3</v>
      </c>
      <c r="F6" s="6">
        <v>0.71899999999999997</v>
      </c>
      <c r="G6" s="6">
        <v>20.5</v>
      </c>
      <c r="I6" s="6" t="s">
        <v>346</v>
      </c>
      <c r="K6" s="6" t="s">
        <v>346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" t="s">
        <v>316</v>
      </c>
      <c r="E7" s="62">
        <v>0.9</v>
      </c>
      <c r="F7" s="6">
        <v>1.877</v>
      </c>
      <c r="G7" s="6">
        <v>19.8</v>
      </c>
      <c r="I7" s="6" t="s">
        <v>347</v>
      </c>
      <c r="K7" s="6" t="s">
        <v>347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1">
        <v>0.2</v>
      </c>
      <c r="C8" s="141">
        <f t="shared" si="0"/>
        <v>0.17499999999999999</v>
      </c>
      <c r="D8" s="6" t="s">
        <v>317</v>
      </c>
      <c r="E8" s="62">
        <v>1.7</v>
      </c>
      <c r="F8" s="6">
        <v>3.35</v>
      </c>
      <c r="G8" s="6">
        <v>19.3</v>
      </c>
      <c r="I8" s="6" t="s">
        <v>348</v>
      </c>
      <c r="K8" s="6" t="s">
        <v>348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>
        <f t="shared" si="0"/>
        <v>0.22500000000000001</v>
      </c>
      <c r="D9" s="6" t="s">
        <v>318</v>
      </c>
      <c r="E9" s="62">
        <v>2</v>
      </c>
      <c r="F9" s="6">
        <v>3.86</v>
      </c>
      <c r="G9" s="6">
        <v>20.399999999999999</v>
      </c>
      <c r="I9" s="6" t="s">
        <v>349</v>
      </c>
      <c r="K9" s="6" t="s">
        <v>349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1">
        <v>0.3</v>
      </c>
      <c r="C10" s="141">
        <f t="shared" si="0"/>
        <v>0.27500000000000002</v>
      </c>
      <c r="D10" s="6" t="s">
        <v>319</v>
      </c>
      <c r="E10" s="62">
        <v>2.6</v>
      </c>
      <c r="F10" s="6">
        <v>4.82</v>
      </c>
      <c r="G10" s="6">
        <v>20.100000000000001</v>
      </c>
      <c r="I10" s="6" t="s">
        <v>350</v>
      </c>
      <c r="K10" s="6" t="s">
        <v>350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" t="s">
        <v>320</v>
      </c>
      <c r="E11" s="62">
        <v>3.2</v>
      </c>
      <c r="F11" s="6">
        <v>5.97</v>
      </c>
      <c r="G11" s="6">
        <v>20.2</v>
      </c>
      <c r="I11" s="6" t="s">
        <v>351</v>
      </c>
      <c r="K11" s="6" t="s">
        <v>351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1">
        <v>0.4</v>
      </c>
      <c r="C12" s="141">
        <f t="shared" si="0"/>
        <v>0.375</v>
      </c>
      <c r="D12" s="6" t="s">
        <v>321</v>
      </c>
      <c r="E12" s="62">
        <v>3.4</v>
      </c>
      <c r="F12" s="6">
        <v>6.32</v>
      </c>
      <c r="G12" s="6">
        <v>19.100000000000001</v>
      </c>
      <c r="I12" s="6" t="s">
        <v>352</v>
      </c>
      <c r="K12" s="6" t="s">
        <v>352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" t="s">
        <v>322</v>
      </c>
      <c r="E13" s="62">
        <v>3.7</v>
      </c>
      <c r="F13" s="6">
        <v>6.82</v>
      </c>
      <c r="G13" s="6">
        <v>19.3</v>
      </c>
      <c r="I13" s="6" t="s">
        <v>353</v>
      </c>
      <c r="K13" s="6" t="s">
        <v>353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1">
        <v>0.5</v>
      </c>
      <c r="C14" s="141">
        <f t="shared" si="0"/>
        <v>0.47499999999999998</v>
      </c>
      <c r="D14" s="6" t="s">
        <v>323</v>
      </c>
      <c r="E14" s="62">
        <v>4.2</v>
      </c>
      <c r="F14" s="6">
        <v>7.65</v>
      </c>
      <c r="G14" s="6">
        <v>19.399999999999999</v>
      </c>
      <c r="I14" s="6" t="s">
        <v>354</v>
      </c>
      <c r="K14" s="6" t="s">
        <v>354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>
        <f t="shared" si="0"/>
        <v>0.52500000000000002</v>
      </c>
      <c r="D15" s="6" t="s">
        <v>324</v>
      </c>
      <c r="E15" s="62">
        <v>3.4</v>
      </c>
      <c r="F15" s="6">
        <v>6.23</v>
      </c>
      <c r="G15" s="6">
        <v>19.2</v>
      </c>
      <c r="I15" s="6" t="s">
        <v>355</v>
      </c>
      <c r="K15" s="6" t="s">
        <v>355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1">
        <v>0.6</v>
      </c>
      <c r="C16" s="141">
        <f t="shared" si="0"/>
        <v>0.57499999999999996</v>
      </c>
      <c r="D16" s="6" t="s">
        <v>325</v>
      </c>
      <c r="E16" s="62">
        <v>3.7</v>
      </c>
      <c r="F16" s="6">
        <v>6.73</v>
      </c>
      <c r="G16" s="6">
        <v>19.2</v>
      </c>
      <c r="I16" s="6" t="s">
        <v>356</v>
      </c>
      <c r="K16" s="6" t="s">
        <v>356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" t="s">
        <v>326</v>
      </c>
      <c r="E17" s="62">
        <v>3.8</v>
      </c>
      <c r="F17" s="6">
        <v>6.99</v>
      </c>
      <c r="G17" s="6">
        <v>20.100000000000001</v>
      </c>
      <c r="I17" s="6" t="s">
        <v>357</v>
      </c>
      <c r="K17" s="6" t="s">
        <v>357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1">
        <v>0.7</v>
      </c>
      <c r="C18" s="141">
        <f t="shared" si="0"/>
        <v>0.67500000000000004</v>
      </c>
      <c r="D18" s="6" t="s">
        <v>327</v>
      </c>
      <c r="E18" s="62">
        <v>4.0999999999999996</v>
      </c>
      <c r="F18" s="6">
        <v>7.45</v>
      </c>
      <c r="G18" s="6">
        <v>19.899999999999999</v>
      </c>
      <c r="I18" s="6" t="s">
        <v>358</v>
      </c>
      <c r="K18" s="6" t="s">
        <v>358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" t="s">
        <v>328</v>
      </c>
      <c r="E19" s="62">
        <v>3.9</v>
      </c>
      <c r="F19" s="6">
        <v>7.14</v>
      </c>
      <c r="G19" s="6">
        <v>20.6</v>
      </c>
      <c r="I19" s="6" t="s">
        <v>359</v>
      </c>
      <c r="K19" s="6" t="s">
        <v>359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1">
        <v>0.8</v>
      </c>
      <c r="C20" s="141">
        <f t="shared" si="0"/>
        <v>0.77500000000000002</v>
      </c>
      <c r="D20" s="6" t="s">
        <v>329</v>
      </c>
      <c r="E20" s="62">
        <v>4.3</v>
      </c>
      <c r="F20" s="6">
        <v>7.76</v>
      </c>
      <c r="G20" s="6">
        <v>20.100000000000001</v>
      </c>
      <c r="I20" s="6" t="s">
        <v>360</v>
      </c>
      <c r="K20" s="6" t="s">
        <v>360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>
        <f t="shared" si="0"/>
        <v>0.82499999999999996</v>
      </c>
      <c r="D21" s="6" t="s">
        <v>330</v>
      </c>
      <c r="E21" s="62">
        <v>4.5</v>
      </c>
      <c r="F21" s="6">
        <v>8.1199999999999992</v>
      </c>
      <c r="G21" s="6">
        <v>20.3</v>
      </c>
      <c r="I21" s="6" t="s">
        <v>361</v>
      </c>
      <c r="K21" s="6" t="s">
        <v>361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0">
        <v>0.85</v>
      </c>
      <c r="B22" s="141">
        <v>0.9</v>
      </c>
      <c r="C22" s="141">
        <f t="shared" si="0"/>
        <v>0.875</v>
      </c>
      <c r="D22" s="6" t="s">
        <v>331</v>
      </c>
      <c r="E22" s="62">
        <v>4.4000000000000004</v>
      </c>
      <c r="F22" s="6">
        <v>7.96</v>
      </c>
      <c r="G22" s="6">
        <v>20.2</v>
      </c>
      <c r="I22" s="6" t="s">
        <v>362</v>
      </c>
      <c r="K22" s="6" t="s">
        <v>362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0">
        <v>0.9</v>
      </c>
      <c r="B23" s="140">
        <v>0.95</v>
      </c>
      <c r="C23" s="141">
        <f t="shared" si="0"/>
        <v>0.92500000000000004</v>
      </c>
      <c r="D23" s="6" t="s">
        <v>332</v>
      </c>
      <c r="E23" s="62">
        <v>4.5999999999999996</v>
      </c>
      <c r="F23" s="6">
        <v>8.35</v>
      </c>
      <c r="G23" s="6">
        <v>19.899999999999999</v>
      </c>
      <c r="I23" s="6" t="s">
        <v>363</v>
      </c>
      <c r="K23" s="6" t="s">
        <v>363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0">
        <v>0.95</v>
      </c>
      <c r="B24" s="141">
        <v>1</v>
      </c>
      <c r="C24" s="141">
        <f t="shared" si="0"/>
        <v>0.97499999999999998</v>
      </c>
      <c r="D24" s="6" t="s">
        <v>333</v>
      </c>
      <c r="E24" s="62">
        <v>4.5</v>
      </c>
      <c r="F24" s="6">
        <v>8.11</v>
      </c>
      <c r="G24" s="6">
        <v>19.7</v>
      </c>
      <c r="I24" s="6" t="s">
        <v>364</v>
      </c>
      <c r="K24" s="6" t="s">
        <v>364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0">
        <v>1</v>
      </c>
      <c r="B25" s="140">
        <v>1.05</v>
      </c>
      <c r="C25" s="141">
        <f t="shared" si="0"/>
        <v>1.0249999999999999</v>
      </c>
      <c r="D25" s="6" t="s">
        <v>334</v>
      </c>
      <c r="E25" s="62">
        <v>3.6</v>
      </c>
      <c r="F25" s="6">
        <v>6.65</v>
      </c>
      <c r="G25" s="6">
        <v>19.899999999999999</v>
      </c>
      <c r="I25" s="6" t="s">
        <v>365</v>
      </c>
      <c r="K25" s="6" t="s">
        <v>365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0">
        <v>1.05</v>
      </c>
      <c r="B26" s="141">
        <v>1.1000000000000001</v>
      </c>
      <c r="C26" s="141">
        <f t="shared" si="0"/>
        <v>1.0750000000000002</v>
      </c>
      <c r="D26" s="6" t="s">
        <v>335</v>
      </c>
      <c r="E26" s="62">
        <v>4</v>
      </c>
      <c r="F26" s="6">
        <v>7.24</v>
      </c>
      <c r="G26" s="6">
        <v>20</v>
      </c>
      <c r="I26" s="6" t="s">
        <v>366</v>
      </c>
      <c r="K26" s="6" t="s">
        <v>366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0">
        <v>1.1000000000000001</v>
      </c>
      <c r="B27" s="140">
        <v>1.1499999999999999</v>
      </c>
      <c r="C27" s="141">
        <f t="shared" si="0"/>
        <v>1.125</v>
      </c>
      <c r="D27" s="6" t="s">
        <v>336</v>
      </c>
      <c r="E27" s="62">
        <v>4.0999999999999996</v>
      </c>
      <c r="F27" s="6">
        <v>7.46</v>
      </c>
      <c r="G27" s="6">
        <v>20.2</v>
      </c>
      <c r="I27" s="6" t="s">
        <v>367</v>
      </c>
      <c r="K27" s="6" t="s">
        <v>367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0">
        <v>1.1499999999999999</v>
      </c>
      <c r="B28" s="141">
        <v>1.2</v>
      </c>
      <c r="C28" s="141">
        <f t="shared" si="0"/>
        <v>1.1749999999999998</v>
      </c>
      <c r="D28" s="6" t="s">
        <v>337</v>
      </c>
      <c r="E28" s="62">
        <v>3.9</v>
      </c>
      <c r="F28" s="6">
        <v>7.17</v>
      </c>
      <c r="G28" s="6">
        <v>20.5</v>
      </c>
      <c r="I28" s="6" t="s">
        <v>368</v>
      </c>
      <c r="K28" s="6" t="s">
        <v>368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0">
        <v>1.2</v>
      </c>
      <c r="B29" s="140">
        <v>1.25</v>
      </c>
      <c r="C29" s="141">
        <f t="shared" si="0"/>
        <v>1.2250000000000001</v>
      </c>
      <c r="D29" s="6" t="s">
        <v>338</v>
      </c>
      <c r="E29" s="62">
        <v>3.9</v>
      </c>
      <c r="F29" s="6">
        <v>7.04</v>
      </c>
      <c r="G29" s="6">
        <v>20.3</v>
      </c>
      <c r="I29" s="6" t="s">
        <v>369</v>
      </c>
      <c r="K29" s="6" t="s">
        <v>369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0">
        <v>1.25</v>
      </c>
      <c r="B30" s="141">
        <v>1.3</v>
      </c>
      <c r="C30" s="141">
        <f t="shared" si="0"/>
        <v>1.2749999999999999</v>
      </c>
      <c r="D30" s="6" t="s">
        <v>339</v>
      </c>
      <c r="E30" s="62">
        <v>3.6</v>
      </c>
      <c r="F30" s="6">
        <v>6.54</v>
      </c>
      <c r="G30" s="6">
        <v>20</v>
      </c>
      <c r="I30" s="6" t="s">
        <v>370</v>
      </c>
      <c r="K30" s="6" t="s">
        <v>370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0">
        <v>1.3</v>
      </c>
      <c r="B31" s="140">
        <v>1.35</v>
      </c>
      <c r="C31" s="141">
        <f t="shared" si="0"/>
        <v>1.3250000000000002</v>
      </c>
      <c r="D31" s="6" t="s">
        <v>340</v>
      </c>
      <c r="E31" s="62">
        <v>3.6</v>
      </c>
      <c r="F31" s="6">
        <v>6.51</v>
      </c>
      <c r="G31" s="6">
        <v>20.6</v>
      </c>
      <c r="I31" s="6" t="s">
        <v>371</v>
      </c>
      <c r="K31" s="6" t="s">
        <v>371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0">
        <v>1.35</v>
      </c>
      <c r="B32" s="141">
        <v>1.4</v>
      </c>
      <c r="C32" s="141">
        <f t="shared" si="0"/>
        <v>1.375</v>
      </c>
      <c r="D32" s="6" t="s">
        <v>341</v>
      </c>
      <c r="E32" s="62">
        <v>3.4</v>
      </c>
      <c r="F32" s="6">
        <v>6.22</v>
      </c>
      <c r="G32" s="6">
        <v>19.600000000000001</v>
      </c>
      <c r="I32" s="6" t="s">
        <v>372</v>
      </c>
      <c r="K32" s="6" t="s">
        <v>372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0">
        <v>1.4</v>
      </c>
      <c r="B33" s="140">
        <v>1.45</v>
      </c>
      <c r="C33" s="141">
        <f t="shared" si="0"/>
        <v>1.4249999999999998</v>
      </c>
      <c r="D33" s="6" t="s">
        <v>342</v>
      </c>
      <c r="E33" s="62">
        <v>3.1</v>
      </c>
      <c r="F33" s="6">
        <v>5.76</v>
      </c>
      <c r="G33" s="6">
        <v>20.3</v>
      </c>
      <c r="I33" s="6" t="s">
        <v>373</v>
      </c>
      <c r="K33" s="6" t="s">
        <v>373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1"/>
      <c r="F46" s="15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C17" sqref="C17:E17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2" t="s">
        <v>95</v>
      </c>
      <c r="D2" s="152"/>
      <c r="E2" s="152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3" t="s">
        <v>1</v>
      </c>
      <c r="D3" s="153"/>
      <c r="E3" s="153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/>
      <c r="B4" s="69"/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/>
      <c r="B5" s="69"/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/>
      <c r="B6" s="69"/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/>
      <c r="B7" s="69"/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/>
      <c r="B8" s="69"/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/>
      <c r="B9" s="69"/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/>
      <c r="B10" s="69"/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/>
      <c r="B11" s="69"/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/>
      <c r="B12" s="69"/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/>
      <c r="B13" s="69"/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/>
      <c r="B14" s="69"/>
      <c r="C14" s="154"/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/>
      <c r="B16" s="69"/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/>
      <c r="B17" s="69"/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/>
      <c r="B18" s="69"/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/>
      <c r="B19" s="69"/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/>
      <c r="B20" s="69"/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/>
      <c r="B21" s="69"/>
      <c r="C21" s="154"/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11" sqref="F11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5" t="s">
        <v>105</v>
      </c>
      <c r="E2" s="155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6" t="s">
        <v>106</v>
      </c>
      <c r="E3" s="156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1.03</v>
      </c>
      <c r="D4" s="157"/>
      <c r="E4" s="157"/>
      <c r="F4" s="6" t="s">
        <v>343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0.28999999999999998</v>
      </c>
      <c r="D5" s="157" t="s">
        <v>181</v>
      </c>
      <c r="E5" s="15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1.03</v>
      </c>
      <c r="B6" s="6">
        <v>1.44</v>
      </c>
      <c r="D6" s="157"/>
      <c r="E6" s="157"/>
      <c r="F6" s="6" t="s">
        <v>344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7"/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1"/>
      <c r="E47" s="151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8" t="s">
        <v>122</v>
      </c>
      <c r="G2" s="158"/>
      <c r="H2" s="158" t="s">
        <v>123</v>
      </c>
      <c r="I2" s="158"/>
      <c r="J2" s="159" t="s">
        <v>124</v>
      </c>
      <c r="K2" s="159"/>
      <c r="L2" s="158" t="s">
        <v>125</v>
      </c>
      <c r="M2" s="158"/>
      <c r="N2" s="159" t="s">
        <v>126</v>
      </c>
      <c r="O2" s="159"/>
      <c r="P2" s="161" t="s">
        <v>127</v>
      </c>
      <c r="Q2" s="161"/>
      <c r="R2" s="155" t="s">
        <v>128</v>
      </c>
      <c r="S2" s="155"/>
      <c r="T2" s="161" t="s">
        <v>129</v>
      </c>
      <c r="U2" s="161"/>
      <c r="V2" s="155" t="s">
        <v>130</v>
      </c>
      <c r="W2" s="155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5" t="s">
        <v>92</v>
      </c>
      <c r="I1" s="155"/>
      <c r="J1" s="155" t="s">
        <v>93</v>
      </c>
      <c r="K1" s="155"/>
      <c r="L1" s="60"/>
      <c r="M1" s="58" t="s">
        <v>95</v>
      </c>
      <c r="N1" s="9"/>
      <c r="O1" s="19" t="s">
        <v>141</v>
      </c>
      <c r="P1" s="19"/>
      <c r="Q1" s="9"/>
      <c r="R1" s="158" t="s">
        <v>122</v>
      </c>
      <c r="S1" s="158"/>
      <c r="T1" s="9"/>
      <c r="U1" s="58" t="s">
        <v>85</v>
      </c>
      <c r="V1" s="58" t="s">
        <v>86</v>
      </c>
      <c r="W1" s="19"/>
      <c r="X1" s="9"/>
      <c r="Y1" s="162" t="s">
        <v>142</v>
      </c>
      <c r="Z1" s="162"/>
      <c r="AA1" s="162"/>
      <c r="AB1" s="9"/>
      <c r="AC1" s="163" t="s">
        <v>143</v>
      </c>
      <c r="AD1" s="163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4" t="s">
        <v>176</v>
      </c>
      <c r="J1" s="164"/>
      <c r="K1" s="164"/>
      <c r="L1" s="164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2025-07-18T14:27:02Z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