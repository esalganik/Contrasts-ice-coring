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b\04aug2025coring\"/>
    </mc:Choice>
  </mc:AlternateContent>
  <xr:revisionPtr revIDLastSave="0" documentId="13_ncr:1_{8DF9B9A5-3FAA-45B5-85D1-645F239B0E76}" xr6:coauthVersionLast="47" xr6:coauthVersionMax="47" xr10:uidLastSave="{00000000-0000-0000-0000-000000000000}"/>
  <bookViews>
    <workbookView xWindow="-108" yWindow="-108" windowWidth="23256" windowHeight="12456" tabRatio="726" activeTab="2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9" i="3" l="1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<sst xmlns="http://schemas.openxmlformats.org/spreadsheetml/2006/main" count="759" uniqueCount="392">
  <si>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</si>
  <si>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</si>
  <si>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</si>
  <si>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</si>
  <si>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</si>
  <si>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</si>
  <si>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</si>
  <si>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</si>
  <si>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</si>
  <si>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</si>
  <si>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</si>
  <si>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</si>
  <si>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</si>
  <si>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</si>
  <si>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</si>
  <si>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</si>
  <si>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</si>
  <si>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</si>
  <si>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</si>
  <si>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</si>
  <si>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</si>
  <si>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</si>
  <si>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</si>
  <si>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</si>
  <si>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</si>
  <si>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</si>
  <si>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</si>
  <si>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</si>
  <si>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</si>
  <si>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</si>
  <si>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</si>
  <si>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</si>
  <si>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</si>
  <si>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</si>
  <si>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</si>
  <si>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</si>
  <si>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</si>
  <si>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</si>
  <si>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</si>
  <si>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</si>
  <si>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</si>
  <si>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</si>
  <si>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</si>
  <si>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</si>
  <si>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</si>
  <si>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</si>
  <si>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</si>
  <si>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</si>
  <si>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</si>
  <si>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</si>
  <si>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</si>
  <si>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</si>
  <si>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</si>
  <si>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</si>
  <si>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</si>
  <si>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</si>
  <si>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</si>
  <si>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</si>
  <si>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</si>
  <si>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</si>
  <si>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</si>
  <si>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</si>
  <si>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</si>
  <si>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</si>
  <si>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</si>
  <si>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</si>
  <si>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</si>
  <si>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</si>
  <si>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</si>
  <si>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</si>
  <si>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</si>
  <si>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</si>
  <si>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</si>
  <si>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</si>
  <si>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</si>
  <si>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</si>
  <si>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</si>
  <si>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</si>
  <si>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</si>
  <si>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</si>
  <si>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</si>
  <si>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</si>
  <si>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</si>
  <si>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</si>
  <si>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</si>
  <si>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</si>
  <si>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</si>
  <si>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</si>
  <si>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</si>
  <si>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</si>
  <si>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</si>
  <si>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</si>
  <si>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</si>
  <si>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</si>
  <si>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</si>
  <si>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</si>
  <si>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</si>
  <si>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</si>
  <si>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</si>
  <si>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</si>
  <si>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</si>
  <si>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</si>
  <si>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</si>
  <si>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</si>
  <si>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</si>
  <si>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</si>
  <si>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</si>
  <si>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</si>
  <si>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</si>
  <si>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</si>
  <si>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</si>
  <si>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</si>
  <si>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</si>
  <si>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</si>
  <si>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</si>
  <si>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</si>
  <si>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</si>
  <si>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</si>
  <si>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</si>
  <si>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</si>
  <si>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</si>
  <si>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</si>
  <si>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</si>
  <si>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</si>
  <si>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</si>
  <si>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</si>
  <si>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</si>
  <si>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</si>
  <si>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</si>
  <si>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</si>
  <si>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</si>
  <si>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</si>
  <si>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</si>
  <si>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</si>
  <si>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</si>
  <si>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</si>
  <si>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</si>
  <si>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</si>
  <si>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</si>
  <si>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</si>
  <si>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</si>
  <si>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</si>
  <si>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</si>
  <si>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</si>
  <si>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</si>
  <si>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</si>
  <si>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</si>
  <si>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</si>
  <si>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</si>
  <si>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</si>
  <si>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</si>
  <si>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</si>
  <si>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</si>
  <si>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</si>
  <si>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</si>
  <si>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</si>
  <si>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</si>
  <si>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</si>
  <si>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</si>
  <si>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</si>
  <si>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</si>
  <si>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</si>
  <si>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</si>
  <si>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</si>
  <si>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</si>
  <si>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</si>
  <si>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</si>
  <si>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</si>
  <si>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</si>
  <si>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</si>
  <si>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</si>
  <si>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</si>
  <si>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</si>
  <si>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</si>
  <si>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</si>
  <si>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</si>
  <si>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</si>
  <si>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</si>
  <si>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</si>
  <si>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</si>
  <si>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</si>
  <si>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</si>
  <si>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</si>
  <si>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</si>
  <si>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</si>
  <si>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</si>
  <si>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</si>
  <si>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</si>
  <si>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</si>
  <si>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</si>
  <si>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</si>
  <si>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</si>
  <si>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</si>
  <si>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</si>
  <si>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</si>
  <si>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</si>
  <si>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</si>
  <si>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</si>
  <si>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</si>
  <si>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</si>
  <si>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</si>
  <si>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</si>
  <si>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</si>
  <si>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</si>
  <si>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</si>
  <si>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</si>
  <si>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</si>
  <si>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</si>
  <si>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</si>
  <si>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</si>
  <si>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</si>
  <si>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</si>
  <si>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</si>
  <si>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</si>
  <si>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</si>
  <si>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</si>
  <si>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</si>
  <si>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</si>
  <si>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</si>
  <si>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</si>
  <si>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</si>
  <si>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</si>
  <si>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</si>
  <si>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</si>
  <si>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</si>
  <si>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</si>
  <si>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</si>
  <si>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</si>
  <si>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</si>
  <si>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</si>
  <si>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</si>
  <si>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</si>
  <si>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</si>
  <si>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</si>
  <si>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</si>
  <si>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</si>
  <si>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</si>
  <si>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</si>
  <si>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</si>
  <si>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</si>
  <si>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</si>
  <si>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</si>
  <si>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</si>
  <si>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</si>
  <si>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</si>
  <si>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</si>
  <si>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</si>
  <si>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</si>
  <si>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</si>
  <si>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</si>
  <si>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</si>
  <si>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</si>
  <si>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</si>
  <si>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</si>
  <si>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</si>
  <si>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</si>
  <si>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</si>
  <si>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</si>
  <si>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</si>
  <si>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</si>
  <si>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</si>
  <si>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</si>
  <si>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</si>
  <si>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</si>
  <si>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</si>
  <si>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</si>
  <si>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</si>
  <si>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</si>
  <si>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</si>
  <si>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</si>
  <si>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</si>
  <si>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</si>
  <si>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</si>
  <si>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</si>
  <si>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</si>
  <si>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</si>
  <si>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</si>
  <si>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</si>
  <si>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</si>
  <si>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</si>
  <si>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</si>
  <si>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</si>
  <si>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</si>
  <si>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</si>
  <si>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</si>
  <si>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</si>
  <si>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</si>
  <si>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</si>
  <si>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</si>
  <si>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</si>
  <si>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</si>
  <si>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</si>
  <si>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</si>
  <si>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</si>
  <si>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</si>
  <si>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</si>
  <si>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</si>
  <si>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</si>
  <si>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</si>
  <si>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</si>
  <si>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</si>
  <si>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</si>
  <si>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</si>
  <si>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</si>
  <si>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</si>
  <si>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</si>
  <si>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</si>
  <si>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</si>
  <si>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</si>
  <si>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</si>
  <si>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</si>
  <si>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</si>
  <si>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</si>
  <si>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</si>
  <si>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</si>
  <si>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</si>
  <si>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</si>
  <si>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</si>
  <si>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</si>
  <si>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</si>
  <si>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</si>
  <si>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</si>
  <si>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</si>
  <si>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</si>
  <si>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</si>
  <si>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</si>
  <si>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</si>
  <si>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</si>
  <si>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</si>
  <si>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</si>
  <si>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</si>
  <si>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</si>
  <si>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</si>
  <si>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</si>
  <si>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</si>
  <si>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</si>
  <si>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</si>
  <si>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</si>
  <si>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</si>
  <si>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</si>
  <si>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</si>
  <si>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</si>
  <si>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</si>
  <si>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</si>
  <si>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</si>
  <si>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section 1</t>
  </si>
  <si>
    <t>section 2</t>
  </si>
  <si>
    <t xml:space="preserve">Cond 3110 S/N 11440477; the same as the one used for other SALO18 cores of the PS149. </t>
  </si>
  <si>
    <t>20250804-PS149_30-1-SI_corer_9cm-016-SYI-SALO18</t>
  </si>
  <si>
    <t>cut on site</t>
  </si>
  <si>
    <t>PS149-3b</t>
  </si>
  <si>
    <t>Ice Station 3b (event 30-1), coring on the main coring site.  The ice floe is a SYI or older, typical thickness 1.8 m and even thicker on the first visit. Coring site on level ice some 80 m away of the ship and 10 m away of the first coring location; direction off the ship/main road. Thickness of the ice is only slighly less than on the previous coring. Snow/scatter on surface is almost gone. Surface is wet.</t>
  </si>
  <si>
    <t>20250804-PS149_30-1-SI_corer_9cm-019-SYI-RHO</t>
  </si>
  <si>
    <t>20250804-PS149_30-1-SI_corer_9cm-017-SYI-T</t>
  </si>
  <si>
    <t>20250804-PS149_30-1-SI_corer_9cm-018-SYI-REP</t>
  </si>
  <si>
    <t>mark start 337</t>
  </si>
  <si>
    <t>mark end 338</t>
  </si>
  <si>
    <t>PS149-DO18-137</t>
  </si>
  <si>
    <t>PS149-DO18-138</t>
  </si>
  <si>
    <t>PS149-DO18-139</t>
  </si>
  <si>
    <t>PS149-DO18-140</t>
  </si>
  <si>
    <t>PS149-DO18-141</t>
  </si>
  <si>
    <t>PS149-DO18-142</t>
  </si>
  <si>
    <t>PS149-DO18-143</t>
  </si>
  <si>
    <t>PS149-DO18-144</t>
  </si>
  <si>
    <t>PS149-DO18-145</t>
  </si>
  <si>
    <t>PS149-DO18-146</t>
  </si>
  <si>
    <t>PS149-DO18-147</t>
  </si>
  <si>
    <t>PS149-DO18-148</t>
  </si>
  <si>
    <t>PS149-DO18-149</t>
  </si>
  <si>
    <t>PS149-DO18-150</t>
  </si>
  <si>
    <t>PS149-DO18-151</t>
  </si>
  <si>
    <t>PS149-DO18-152</t>
  </si>
  <si>
    <t>PS149-DO18-153</t>
  </si>
  <si>
    <t>PS149-DO18-154</t>
  </si>
  <si>
    <t>PS149-DO18-155</t>
  </si>
  <si>
    <t>PS149-DO18-156</t>
  </si>
  <si>
    <t>PS149-DO18-157</t>
  </si>
  <si>
    <t>PS149-DO18-158</t>
  </si>
  <si>
    <t>PS149-DO18-159</t>
  </si>
  <si>
    <t>PS149-DO18-160</t>
  </si>
  <si>
    <t>PS149-DO18-161</t>
  </si>
  <si>
    <t>PS149-DO18-162</t>
  </si>
  <si>
    <t>PS149-DO18-163</t>
  </si>
  <si>
    <t>PS149-DO18-164</t>
  </si>
  <si>
    <t>PS149-DO18-165</t>
  </si>
  <si>
    <t>PS149-DO18-166</t>
  </si>
  <si>
    <t>PS149-DO18-167</t>
  </si>
  <si>
    <t>PS149-DO18-168</t>
  </si>
  <si>
    <t>PS149-DO18-169</t>
  </si>
  <si>
    <t>PS149-DO18-170</t>
  </si>
  <si>
    <t>PS149-DO18-171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</si>
</sst>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profile SYI Station 3b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SALO18!$C$5:$C$39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1.5750000000000002</c:v>
                </c:pt>
                <c:pt idx="32">
                  <c:v>1.625</c:v>
                </c:pt>
                <c:pt idx="33">
                  <c:v>1.6749999999999998</c:v>
                </c:pt>
                <c:pt idx="34">
                  <c:v>1.7250000000000001</c:v>
                </c:pt>
              </c:numCache>
            </c:numRef>
          </c:xVal>
          <c:yVal>
            <c:numRef>
              <c:f>SALO18!$E$5:$E$39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0.7</c:v>
                </c:pt>
                <c:pt idx="7">
                  <c:v>0.7</c:v>
                </c:pt>
                <c:pt idx="8">
                  <c:v>0.9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1.8</c:v>
                </c:pt>
                <c:pt idx="13">
                  <c:v>2.1</c:v>
                </c:pt>
                <c:pt idx="14">
                  <c:v>2.2999999999999998</c:v>
                </c:pt>
                <c:pt idx="15">
                  <c:v>2.8</c:v>
                </c:pt>
                <c:pt idx="16">
                  <c:v>2.4</c:v>
                </c:pt>
                <c:pt idx="17">
                  <c:v>2.6</c:v>
                </c:pt>
                <c:pt idx="18">
                  <c:v>2.4</c:v>
                </c:pt>
                <c:pt idx="19">
                  <c:v>2.4</c:v>
                </c:pt>
                <c:pt idx="20">
                  <c:v>2.5</c:v>
                </c:pt>
                <c:pt idx="21">
                  <c:v>3.1</c:v>
                </c:pt>
                <c:pt idx="22">
                  <c:v>2.8</c:v>
                </c:pt>
                <c:pt idx="23">
                  <c:v>2.6</c:v>
                </c:pt>
                <c:pt idx="24">
                  <c:v>2.4</c:v>
                </c:pt>
                <c:pt idx="25">
                  <c:v>2.1</c:v>
                </c:pt>
                <c:pt idx="26">
                  <c:v>2.1</c:v>
                </c:pt>
                <c:pt idx="27">
                  <c:v>2.2000000000000002</c:v>
                </c:pt>
                <c:pt idx="28">
                  <c:v>2.4</c:v>
                </c:pt>
                <c:pt idx="29">
                  <c:v>2.6</c:v>
                </c:pt>
                <c:pt idx="30">
                  <c:v>2.4</c:v>
                </c:pt>
                <c:pt idx="31">
                  <c:v>2.4</c:v>
                </c:pt>
                <c:pt idx="32">
                  <c:v>2.5</c:v>
                </c:pt>
                <c:pt idx="33">
                  <c:v>2.8</c:v>
                </c:pt>
                <c:pt idx="34">
                  <c:v>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E-4BF8-8433-BEF12F3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04303"/>
        <c:axId val="1593994703"/>
      </c:scatterChart>
      <c:valAx>
        <c:axId val="15940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3994703"/>
        <c:crosses val="autoZero"/>
        <c:crossBetween val="midCat"/>
      </c:valAx>
      <c:valAx>
        <c:axId val="15939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40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89646</xdr:colOff>
      <xdr:row>6</xdr:row>
      <xdr:rowOff>89647</xdr:rowOff>
    </xdr:from>
    <xdr:to>
      <xdr:col>21</xdr:col>
      <xdr:colOff>80682</xdr:colOff>
      <xdr:row>21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9C991-0541-09B1-DE35-B901D2BF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I9" sqref="I9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348</v>
      </c>
      <c r="D1" s="143"/>
      <c r="E1" s="143"/>
      <c r="F1" s="9"/>
    </row>
    <row r="2" spans="1:6" ht="14.4">
      <c r="A2" s="7" t="s">
        <v>2</v>
      </c>
      <c r="B2" s="8"/>
      <c r="C2" s="10">
        <v>45873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0.3972222222222222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349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1.72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1.57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1.75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347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15" zoomScale="85" zoomScaleNormal="85" workbookViewId="0">
      <selection activeCell="F41" sqref="F41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306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35.864800000000002</v>
      </c>
      <c r="E8" s="31"/>
      <c r="F8">
        <v>83</v>
      </c>
      <c r="G8" s="30">
        <v>36.262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26.704699999999999</v>
      </c>
      <c r="E9" s="35"/>
      <c r="F9">
        <v>-12</v>
      </c>
      <c r="G9" s="34">
        <v>17.5946</v>
      </c>
      <c r="I9" s="22" t="s">
        <v>355</v>
      </c>
      <c r="J9" s="22" t="s">
        <v>356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45873</v>
      </c>
      <c r="D12" s="38">
        <v>45873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0.3972222222222222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0.9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350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352</v>
      </c>
      <c r="D31" s="52" t="s">
        <v>353</v>
      </c>
      <c r="E31" s="52" t="s">
        <v>354</v>
      </c>
      <c r="F31" s="52" t="s">
        <v>348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11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351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abSelected="1" zoomScale="85" zoomScaleNormal="85" workbookViewId="0">
      <selection activeCell="G36" sqref="G36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" t="s">
        <v>310</v>
      </c>
      <c r="E5" s="62">
        <v>0</v>
      </c>
      <c r="F5" s="6">
        <v>6.4799999999999996E-2</v>
      </c>
      <c r="G5" s="6">
        <v>20.3</v>
      </c>
      <c r="I5" s="6" t="s">
        <v>357</v>
      </c>
      <c r="K5" s="6" t="s">
        <v>357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>
        <f t="shared" ref="C6:C39" si="0">AVERAGE(A6:B6)</f>
        <v>7.5000000000000011E-2</v>
      </c>
      <c r="D6" s="6" t="s">
        <v>311</v>
      </c>
      <c r="E6" s="62">
        <v>0</v>
      </c>
      <c r="F6" s="6">
        <v>0.1079</v>
      </c>
      <c r="G6" s="6">
        <v>19.3</v>
      </c>
      <c r="I6" s="6" t="s">
        <v>358</v>
      </c>
      <c r="K6" s="6" t="s">
        <v>358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" t="s">
        <v>312</v>
      </c>
      <c r="E7" s="62">
        <v>0</v>
      </c>
      <c r="F7" s="6">
        <v>0.20699999999999999</v>
      </c>
      <c r="G7" s="6">
        <v>19.7</v>
      </c>
      <c r="I7" s="6" t="s">
        <v>359</v>
      </c>
      <c r="K7" s="6" t="s">
        <v>359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>
        <f t="shared" si="0"/>
        <v>0.17499999999999999</v>
      </c>
      <c r="D8" s="6" t="s">
        <v>313</v>
      </c>
      <c r="E8" s="62">
        <v>0.1</v>
      </c>
      <c r="F8" s="6">
        <v>0.34100000000000003</v>
      </c>
      <c r="G8" s="6">
        <v>20.399999999999999</v>
      </c>
      <c r="I8" s="6" t="s">
        <v>360</v>
      </c>
      <c r="K8" s="6" t="s">
        <v>360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" t="s">
        <v>314</v>
      </c>
      <c r="E9" s="62">
        <v>0.1</v>
      </c>
      <c r="F9" s="6">
        <v>0.46</v>
      </c>
      <c r="G9" s="6">
        <v>20.100000000000001</v>
      </c>
      <c r="I9" s="6" t="s">
        <v>361</v>
      </c>
      <c r="K9" s="6" t="s">
        <v>361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>
        <f t="shared" si="0"/>
        <v>0.27500000000000002</v>
      </c>
      <c r="D10" s="6" t="s">
        <v>315</v>
      </c>
      <c r="E10" s="62">
        <v>0.5</v>
      </c>
      <c r="F10" s="6">
        <v>1.0649999999999999</v>
      </c>
      <c r="G10" s="6">
        <v>19.7</v>
      </c>
      <c r="I10" s="6" t="s">
        <v>362</v>
      </c>
      <c r="K10" s="6" t="s">
        <v>362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" t="s">
        <v>316</v>
      </c>
      <c r="E11" s="62">
        <v>0.7</v>
      </c>
      <c r="F11" s="6">
        <v>1.5</v>
      </c>
      <c r="G11" s="6">
        <v>19.5</v>
      </c>
      <c r="I11" s="6" t="s">
        <v>363</v>
      </c>
      <c r="K11" s="6" t="s">
        <v>363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>
        <f t="shared" si="0"/>
        <v>0.375</v>
      </c>
      <c r="D12" s="6" t="s">
        <v>317</v>
      </c>
      <c r="E12" s="62">
        <v>0.7</v>
      </c>
      <c r="F12" s="6">
        <v>1.411</v>
      </c>
      <c r="G12" s="6">
        <v>19.7</v>
      </c>
      <c r="I12" s="6" t="s">
        <v>364</v>
      </c>
      <c r="K12" s="6" t="s">
        <v>364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" t="s">
        <v>318</v>
      </c>
      <c r="E13" s="62">
        <v>0.9</v>
      </c>
      <c r="F13" s="6">
        <v>1.768</v>
      </c>
      <c r="G13" s="6">
        <v>19.899999999999999</v>
      </c>
      <c r="I13" s="6" t="s">
        <v>365</v>
      </c>
      <c r="K13" s="6" t="s">
        <v>365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>
        <f t="shared" si="0"/>
        <v>0.47499999999999998</v>
      </c>
      <c r="D14" s="6" t="s">
        <v>319</v>
      </c>
      <c r="E14" s="62">
        <v>1.2</v>
      </c>
      <c r="F14" s="6">
        <v>2.37</v>
      </c>
      <c r="G14" s="6">
        <v>19.600000000000001</v>
      </c>
      <c r="I14" s="6" t="s">
        <v>366</v>
      </c>
      <c r="K14" s="6" t="s">
        <v>366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" t="s">
        <v>320</v>
      </c>
      <c r="E15" s="62">
        <v>1.3</v>
      </c>
      <c r="F15" s="6">
        <v>2.56</v>
      </c>
      <c r="G15" s="6">
        <v>20.100000000000001</v>
      </c>
      <c r="I15" s="6" t="s">
        <v>367</v>
      </c>
      <c r="K15" s="6" t="s">
        <v>367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>
        <f t="shared" si="0"/>
        <v>0.57499999999999996</v>
      </c>
      <c r="D16" s="6" t="s">
        <v>321</v>
      </c>
      <c r="E16" s="62">
        <v>1.4</v>
      </c>
      <c r="F16" s="6">
        <v>2.7</v>
      </c>
      <c r="G16" s="6">
        <v>19.7</v>
      </c>
      <c r="I16" s="6" t="s">
        <v>368</v>
      </c>
      <c r="K16" s="6" t="s">
        <v>368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" t="s">
        <v>322</v>
      </c>
      <c r="E17" s="62">
        <v>1.8</v>
      </c>
      <c r="F17" s="6">
        <v>3.47</v>
      </c>
      <c r="G17" s="6">
        <v>19.8</v>
      </c>
      <c r="I17" s="6" t="s">
        <v>369</v>
      </c>
      <c r="K17" s="6" t="s">
        <v>369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>
        <f t="shared" si="0"/>
        <v>0.67500000000000004</v>
      </c>
      <c r="D18" s="6" t="s">
        <v>323</v>
      </c>
      <c r="E18" s="62">
        <v>2.1</v>
      </c>
      <c r="F18" s="6">
        <v>3.97</v>
      </c>
      <c r="G18" s="6">
        <v>20.399999999999999</v>
      </c>
      <c r="I18" s="6" t="s">
        <v>370</v>
      </c>
      <c r="K18" s="6" t="s">
        <v>370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" t="s">
        <v>324</v>
      </c>
      <c r="E19" s="62">
        <v>2.2999999999999998</v>
      </c>
      <c r="F19" s="6">
        <v>4.3099999999999996</v>
      </c>
      <c r="G19" s="6">
        <v>19.399999999999999</v>
      </c>
      <c r="I19" s="6" t="s">
        <v>371</v>
      </c>
      <c r="K19" s="6" t="s">
        <v>371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>
        <f t="shared" si="0"/>
        <v>0.77500000000000002</v>
      </c>
      <c r="D20" s="6" t="s">
        <v>325</v>
      </c>
      <c r="E20" s="62">
        <v>2.8</v>
      </c>
      <c r="F20" s="6">
        <v>5.19</v>
      </c>
      <c r="G20" s="6">
        <v>19.7</v>
      </c>
      <c r="I20" s="6" t="s">
        <v>372</v>
      </c>
      <c r="K20" s="6" t="s">
        <v>372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" t="s">
        <v>326</v>
      </c>
      <c r="E21" s="62">
        <v>2.4</v>
      </c>
      <c r="F21" s="6">
        <v>4.51</v>
      </c>
      <c r="G21" s="6">
        <v>19.7</v>
      </c>
      <c r="I21" s="6" t="s">
        <v>373</v>
      </c>
      <c r="K21" s="6" t="s">
        <v>373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>
        <v>0.85</v>
      </c>
      <c r="B22" s="141">
        <v>0.9</v>
      </c>
      <c r="C22" s="141">
        <f t="shared" si="0"/>
        <v>0.875</v>
      </c>
      <c r="D22" s="6" t="s">
        <v>327</v>
      </c>
      <c r="E22" s="62">
        <v>2.6</v>
      </c>
      <c r="F22" s="6">
        <v>4.9400000000000004</v>
      </c>
      <c r="G22" s="6">
        <v>19.7</v>
      </c>
      <c r="I22" s="6" t="s">
        <v>374</v>
      </c>
      <c r="K22" s="6" t="s">
        <v>374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>
        <v>0.9</v>
      </c>
      <c r="B23" s="141">
        <v>0.95</v>
      </c>
      <c r="C23" s="141">
        <f t="shared" si="0"/>
        <v>0.92500000000000004</v>
      </c>
      <c r="D23" s="6" t="s">
        <v>328</v>
      </c>
      <c r="E23" s="62">
        <v>2.4</v>
      </c>
      <c r="F23" s="6">
        <v>4.5999999999999996</v>
      </c>
      <c r="G23" s="6">
        <v>19.5</v>
      </c>
      <c r="I23" s="6" t="s">
        <v>375</v>
      </c>
      <c r="K23" s="6" t="s">
        <v>375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>
        <v>0.95</v>
      </c>
      <c r="B24" s="141">
        <v>1</v>
      </c>
      <c r="C24" s="141">
        <f t="shared" si="0"/>
        <v>0.97499999999999998</v>
      </c>
      <c r="D24" s="6" t="s">
        <v>329</v>
      </c>
      <c r="E24" s="62">
        <v>2.4</v>
      </c>
      <c r="F24" s="6">
        <v>4.5999999999999996</v>
      </c>
      <c r="G24" s="6">
        <v>19.7</v>
      </c>
      <c r="I24" s="6" t="s">
        <v>376</v>
      </c>
      <c r="K24" s="6" t="s">
        <v>376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>
        <v>1</v>
      </c>
      <c r="B25" s="141">
        <v>1.05</v>
      </c>
      <c r="C25" s="141">
        <f t="shared" si="0"/>
        <v>1.0249999999999999</v>
      </c>
      <c r="D25" s="6" t="s">
        <v>330</v>
      </c>
      <c r="E25" s="62">
        <v>2.5</v>
      </c>
      <c r="F25" s="6">
        <v>4.6399999999999997</v>
      </c>
      <c r="G25" s="6">
        <v>19.8</v>
      </c>
      <c r="I25" s="6" t="s">
        <v>377</v>
      </c>
      <c r="K25" s="6" t="s">
        <v>377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>
        <v>1.05</v>
      </c>
      <c r="B26" s="141">
        <v>1.1000000000000001</v>
      </c>
      <c r="C26" s="141">
        <f t="shared" si="0"/>
        <v>1.0750000000000002</v>
      </c>
      <c r="D26" s="6" t="s">
        <v>331</v>
      </c>
      <c r="E26" s="62">
        <v>3.1</v>
      </c>
      <c r="F26" s="6">
        <v>5.71</v>
      </c>
      <c r="G26" s="6">
        <v>20.2</v>
      </c>
      <c r="I26" s="6" t="s">
        <v>378</v>
      </c>
      <c r="K26" s="6" t="s">
        <v>378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>
        <v>1.1000000000000001</v>
      </c>
      <c r="B27" s="141">
        <v>1.1499999999999999</v>
      </c>
      <c r="C27" s="141">
        <f t="shared" si="0"/>
        <v>1.125</v>
      </c>
      <c r="D27" s="6" t="s">
        <v>332</v>
      </c>
      <c r="E27" s="62">
        <v>2.8</v>
      </c>
      <c r="F27" s="6">
        <v>5.17</v>
      </c>
      <c r="G27" s="6">
        <v>20.100000000000001</v>
      </c>
      <c r="I27" s="6" t="s">
        <v>379</v>
      </c>
      <c r="K27" s="6" t="s">
        <v>379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>
        <v>1.1499999999999999</v>
      </c>
      <c r="B28" s="141">
        <v>1.2</v>
      </c>
      <c r="C28" s="141">
        <f t="shared" si="0"/>
        <v>1.1749999999999998</v>
      </c>
      <c r="D28" s="6" t="s">
        <v>333</v>
      </c>
      <c r="E28" s="62">
        <v>2.6</v>
      </c>
      <c r="F28" s="6">
        <v>4.87</v>
      </c>
      <c r="G28" s="6">
        <v>20.3</v>
      </c>
      <c r="I28" s="6" t="s">
        <v>380</v>
      </c>
      <c r="K28" s="6" t="s">
        <v>380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>
        <v>1.2</v>
      </c>
      <c r="B29" s="141">
        <v>1.25</v>
      </c>
      <c r="C29" s="141">
        <f t="shared" si="0"/>
        <v>1.2250000000000001</v>
      </c>
      <c r="D29" s="6" t="s">
        <v>334</v>
      </c>
      <c r="E29" s="62">
        <v>2.4</v>
      </c>
      <c r="F29" s="6">
        <v>4.49</v>
      </c>
      <c r="G29" s="6">
        <v>20.2</v>
      </c>
      <c r="I29" s="6" t="s">
        <v>381</v>
      </c>
      <c r="K29" s="6" t="s">
        <v>381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>
        <v>1.25</v>
      </c>
      <c r="B30" s="141">
        <v>1.3</v>
      </c>
      <c r="C30" s="141">
        <f t="shared" si="0"/>
        <v>1.2749999999999999</v>
      </c>
      <c r="D30" s="6" t="s">
        <v>335</v>
      </c>
      <c r="E30" s="62">
        <v>2.1</v>
      </c>
      <c r="F30" s="6">
        <v>4.05</v>
      </c>
      <c r="G30" s="6">
        <v>20.100000000000001</v>
      </c>
      <c r="I30" s="6" t="s">
        <v>382</v>
      </c>
      <c r="K30" s="6" t="s">
        <v>382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>
        <v>1.3</v>
      </c>
      <c r="B31" s="141">
        <v>1.35</v>
      </c>
      <c r="C31" s="141">
        <f t="shared" si="0"/>
        <v>1.3250000000000002</v>
      </c>
      <c r="D31" s="6" t="s">
        <v>336</v>
      </c>
      <c r="E31" s="62">
        <v>2.1</v>
      </c>
      <c r="F31" s="6">
        <v>3.91</v>
      </c>
      <c r="G31" s="6">
        <v>20.2</v>
      </c>
      <c r="I31" s="6" t="s">
        <v>383</v>
      </c>
      <c r="K31" s="6" t="s">
        <v>383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>
        <v>1.35</v>
      </c>
      <c r="B32" s="141">
        <v>1.4</v>
      </c>
      <c r="C32" s="141">
        <f t="shared" si="0"/>
        <v>1.375</v>
      </c>
      <c r="D32" s="6" t="s">
        <v>337</v>
      </c>
      <c r="E32" s="62">
        <v>2.2000000000000002</v>
      </c>
      <c r="F32" s="6">
        <v>4.13</v>
      </c>
      <c r="G32" s="6">
        <v>20</v>
      </c>
      <c r="I32" s="6" t="s">
        <v>384</v>
      </c>
      <c r="K32" s="6" t="s">
        <v>384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>
        <v>1.4</v>
      </c>
      <c r="B33" s="141">
        <v>1.45</v>
      </c>
      <c r="C33" s="141">
        <f t="shared" si="0"/>
        <v>1.4249999999999998</v>
      </c>
      <c r="D33" s="6" t="s">
        <v>338</v>
      </c>
      <c r="E33" s="62">
        <v>2.4</v>
      </c>
      <c r="F33" s="6">
        <v>4.4800000000000004</v>
      </c>
      <c r="G33" s="6">
        <v>19.899999999999999</v>
      </c>
      <c r="I33" s="6" t="s">
        <v>385</v>
      </c>
      <c r="K33" s="6" t="s">
        <v>385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>
        <v>1.45</v>
      </c>
      <c r="B34" s="141">
        <v>1.5</v>
      </c>
      <c r="C34" s="141">
        <f t="shared" si="0"/>
        <v>1.4750000000000001</v>
      </c>
      <c r="D34" s="6" t="s">
        <v>339</v>
      </c>
      <c r="E34" s="62">
        <v>2.6</v>
      </c>
      <c r="F34" s="6">
        <v>4.93</v>
      </c>
      <c r="G34" s="6">
        <v>20.100000000000001</v>
      </c>
      <c r="I34" s="6" t="s">
        <v>386</v>
      </c>
      <c r="K34" s="6" t="s">
        <v>386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>
        <v>1.5</v>
      </c>
      <c r="B35" s="141">
        <v>1.55</v>
      </c>
      <c r="C35" s="141">
        <f t="shared" si="0"/>
        <v>1.5249999999999999</v>
      </c>
      <c r="D35" s="6" t="s">
        <v>340</v>
      </c>
      <c r="E35" s="62">
        <v>2.4</v>
      </c>
      <c r="F35" s="6">
        <v>4.55</v>
      </c>
      <c r="G35" s="6">
        <v>20.2</v>
      </c>
      <c r="I35" s="6" t="s">
        <v>387</v>
      </c>
      <c r="K35" s="6" t="s">
        <v>387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>
        <v>1.55</v>
      </c>
      <c r="B36" s="141">
        <v>1.6</v>
      </c>
      <c r="C36" s="141">
        <f t="shared" si="0"/>
        <v>1.5750000000000002</v>
      </c>
      <c r="D36" s="6" t="s">
        <v>341</v>
      </c>
      <c r="E36" s="62">
        <v>2.4</v>
      </c>
      <c r="F36" s="6">
        <v>4.47</v>
      </c>
      <c r="G36" s="6">
        <v>20.2</v>
      </c>
      <c r="I36" s="6" t="s">
        <v>388</v>
      </c>
      <c r="K36" s="6" t="s">
        <v>388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>
        <v>1.6</v>
      </c>
      <c r="B37" s="6">
        <v>1.65</v>
      </c>
      <c r="C37" s="141">
        <f t="shared" si="0"/>
        <v>1.625</v>
      </c>
      <c r="D37" s="6" t="s">
        <v>342</v>
      </c>
      <c r="E37" s="62">
        <v>2.5</v>
      </c>
      <c r="F37" s="6">
        <v>4.6100000000000003</v>
      </c>
      <c r="G37" s="6">
        <v>20.3</v>
      </c>
      <c r="I37" s="6" t="s">
        <v>389</v>
      </c>
      <c r="K37" s="6" t="s">
        <v>389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>
        <v>1.65</v>
      </c>
      <c r="B38" s="6">
        <v>1.7</v>
      </c>
      <c r="C38" s="141">
        <f t="shared" si="0"/>
        <v>1.6749999999999998</v>
      </c>
      <c r="D38" s="6" t="s">
        <v>343</v>
      </c>
      <c r="E38" s="62">
        <v>2.8</v>
      </c>
      <c r="F38" s="6">
        <v>5.15</v>
      </c>
      <c r="G38" s="6">
        <v>20.5</v>
      </c>
      <c r="I38" s="6" t="s">
        <v>390</v>
      </c>
      <c r="K38" s="6" t="s">
        <v>390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>
        <v>1.7</v>
      </c>
      <c r="B39" s="6">
        <v>1.75</v>
      </c>
      <c r="C39" s="141">
        <f t="shared" si="0"/>
        <v>1.7250000000000001</v>
      </c>
      <c r="D39" s="6" t="s">
        <v>344</v>
      </c>
      <c r="E39" s="62">
        <v>3.3</v>
      </c>
      <c r="F39" s="6">
        <v>6.03</v>
      </c>
      <c r="G39" s="6">
        <v>20.2</v>
      </c>
      <c r="I39" s="6" t="s">
        <v>391</v>
      </c>
      <c r="K39" s="6" t="s">
        <v>391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E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/>
      <c r="B4" s="69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/>
      <c r="B5" s="69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/>
      <c r="B6" s="69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/>
      <c r="B7" s="69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/>
      <c r="B8" s="69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/>
      <c r="B9" s="69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/>
      <c r="B10" s="69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/>
      <c r="B11" s="69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/>
      <c r="B12" s="69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/>
      <c r="B13" s="69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/>
      <c r="B14" s="69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/>
      <c r="B15" s="69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/>
      <c r="B16" s="69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/>
      <c r="B17" s="69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/>
      <c r="B18" s="69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/>
      <c r="B19" s="69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/>
      <c r="B20" s="69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/>
      <c r="B21" s="69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B5" sqref="B5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0.95</v>
      </c>
      <c r="D4" s="156"/>
      <c r="E4" s="156"/>
      <c r="F4" s="6" t="s">
        <v>345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0.95</v>
      </c>
      <c r="B5" s="6">
        <v>1.75</v>
      </c>
      <c r="D5" s="156"/>
      <c r="E5" s="156"/>
      <c r="F5" s="6" t="s">
        <v>346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6"/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6"/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F8" sqref="F8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2025-08-07T09:13:53Z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