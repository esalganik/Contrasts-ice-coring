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2c\12aug2025coring\"/>
    </mc:Choice>
  </mc:AlternateContent>
  <xr:revisionPtr revIDLastSave="0" documentId="13_ncr:1_{6ABAB14E-2C34-4A2F-B407-A8693EE538C4}" xr6:coauthVersionLast="47" xr6:coauthVersionMax="47" xr10:uidLastSave="{00000000-0000-0000-0000-000000000000}"/>
  <bookViews>
    <workbookView xWindow="-108" yWindow="-108" windowWidth="23256" windowHeight="12456" tabRatio="726" activeTab="4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<sst xmlns="http://schemas.openxmlformats.org/spreadsheetml/2006/main" count="656" uniqueCount="322">
  <si>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</si>
  <si>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</si>
  <si>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</si>
  <si>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</si>
  <si>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</si>
  <si>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</si>
  <si>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</si>
  <si>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</si>
  <si>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</si>
  <si>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</si>
  <si>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</si>
  <si>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</si>
  <si>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</si>
  <si>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</si>
  <si>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</si>
  <si>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</si>
  <si>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</si>
  <si>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</si>
  <si>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</si>
  <si>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</si>
  <si>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</si>
  <si>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</si>
  <si>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</si>
  <si>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</si>
  <si>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</si>
  <si>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</si>
  <si>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</si>
  <si>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</si>
  <si>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</si>
  <si>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</si>
  <si>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</si>
  <si>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</si>
  <si>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</si>
  <si>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</si>
  <si>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</si>
  <si>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</si>
  <si>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</si>
  <si>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</si>
  <si>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</si>
  <si>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</si>
  <si>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</si>
  <si>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</si>
  <si>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</si>
  <si>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</si>
  <si>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</si>
  <si>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</si>
  <si>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</si>
  <si>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</si>
  <si>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</si>
  <si>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</si>
  <si>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</si>
  <si>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</si>
  <si>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</si>
  <si>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</si>
  <si>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</si>
  <si>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</si>
  <si>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</si>
  <si>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</si>
  <si>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</si>
  <si>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</si>
  <si>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</si>
  <si>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</si>
  <si>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</si>
  <si>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</si>
  <si>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</si>
  <si>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</si>
  <si>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</si>
  <si>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</si>
  <si>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</si>
  <si>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</si>
  <si>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</si>
  <si>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</si>
  <si>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</si>
  <si>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</si>
  <si>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</si>
  <si>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</si>
  <si>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</si>
  <si>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</si>
  <si>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</si>
  <si>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</si>
  <si>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</si>
  <si>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</si>
  <si>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</si>
  <si>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</si>
  <si>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</si>
  <si>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</si>
  <si>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</si>
  <si>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</si>
  <si>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</si>
  <si>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</si>
  <si>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</si>
  <si>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</si>
  <si>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</si>
  <si>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</si>
  <si>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</si>
  <si>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</si>
  <si>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</si>
  <si>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</si>
  <si>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</si>
  <si>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</si>
  <si>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</si>
  <si>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</si>
  <si>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</si>
  <si>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</si>
  <si>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</si>
  <si>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</si>
  <si>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</si>
  <si>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</si>
  <si>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</si>
  <si>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</si>
  <si>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</si>
  <si>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</si>
  <si>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</si>
  <si>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</si>
  <si>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</si>
  <si>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</si>
  <si>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</si>
  <si>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</si>
  <si>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</si>
  <si>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</si>
  <si>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</si>
  <si>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</si>
  <si>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</si>
  <si>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</si>
  <si>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</si>
  <si>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</si>
  <si>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</si>
  <si>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</si>
  <si>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</si>
  <si>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</si>
  <si>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</si>
  <si>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</si>
  <si>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</si>
  <si>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</si>
  <si>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</si>
  <si>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</si>
  <si>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</si>
  <si>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</si>
  <si>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</si>
  <si>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</si>
  <si>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</si>
  <si>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</si>
  <si>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</si>
  <si>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</si>
  <si>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</si>
  <si>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</si>
  <si>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</si>
  <si>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</si>
  <si>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</si>
  <si>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</si>
  <si>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</si>
  <si>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</si>
  <si>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</si>
  <si>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</si>
  <si>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</si>
  <si>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</si>
  <si>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</si>
  <si>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</si>
  <si>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</si>
  <si>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</si>
  <si>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</si>
  <si>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</si>
  <si>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</si>
  <si>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</si>
  <si>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</si>
  <si>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</si>
  <si>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</si>
  <si>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</si>
  <si>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</si>
  <si>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</si>
  <si>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</si>
  <si>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</si>
  <si>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</si>
  <si>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</si>
  <si>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</si>
  <si>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</si>
  <si>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</si>
  <si>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</si>
  <si>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</si>
  <si>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</si>
  <si>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</si>
  <si>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</si>
  <si>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</si>
  <si>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</si>
  <si>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</si>
  <si>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</si>
  <si>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</si>
  <si>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</si>
  <si>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</si>
  <si>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</si>
  <si>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</si>
  <si>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</si>
  <si>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</si>
  <si>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</si>
  <si>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</si>
  <si>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</si>
  <si>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</si>
  <si>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</si>
  <si>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</si>
  <si>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</si>
  <si>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</si>
  <si>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</si>
  <si>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</si>
  <si>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</si>
  <si>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</si>
  <si>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</si>
  <si>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</si>
  <si>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</si>
  <si>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</si>
  <si>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</si>
  <si>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</si>
  <si>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</si>
  <si>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</si>
  <si>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</si>
  <si>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</si>
  <si>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</si>
  <si>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</si>
  <si>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</si>
  <si>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</si>
  <si>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</si>
  <si>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</si>
  <si>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</si>
  <si>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</si>
  <si>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</si>
  <si>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</si>
  <si>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</si>
  <si>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</si>
  <si>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</si>
  <si>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</si>
  <si>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</si>
  <si>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</si>
  <si>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</si>
  <si>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</si>
  <si>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</si>
  <si>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</si>
  <si>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</si>
  <si>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</si>
  <si>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</si>
  <si>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</si>
  <si>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</si>
  <si>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</si>
  <si>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</si>
  <si>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</si>
  <si>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</si>
  <si>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</si>
  <si>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</si>
  <si>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</si>
  <si>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</si>
  <si>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</si>
  <si>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</si>
  <si>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</si>
  <si>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</si>
  <si>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</si>
  <si>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</si>
  <si>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</si>
  <si>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</si>
  <si>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</si>
  <si>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</si>
  <si>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</si>
  <si>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</si>
  <si>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</si>
  <si>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</si>
  <si>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</si>
  <si>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</si>
  <si>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</si>
  <si>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</si>
  <si>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</si>
  <si>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</si>
  <si>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</si>
  <si>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</si>
  <si>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</si>
  <si>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</si>
  <si>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</si>
  <si>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</si>
  <si>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</si>
  <si>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</si>
  <si>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</si>
  <si>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</si>
  <si>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</si>
  <si>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</si>
  <si>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</si>
  <si>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</si>
  <si>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</si>
  <si>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</si>
  <si>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</si>
  <si>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</si>
  <si>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</si>
  <si>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</si>
  <si>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</si>
  <si>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</si>
  <si>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</si>
  <si>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</si>
  <si>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</si>
  <si>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</si>
  <si>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</si>
  <si>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</si>
  <si>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</si>
  <si>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Dmitry Divine</t>
  </si>
  <si>
    <t>9 cm Kovacs</t>
  </si>
  <si>
    <t>Emiliano Cimoli</t>
  </si>
  <si>
    <t xml:space="preserve">T-probe </t>
  </si>
  <si>
    <t>Testo (NPI)</t>
  </si>
  <si>
    <t>Lena Eggers</t>
  </si>
  <si>
    <t>all ECO and BGC cores</t>
  </si>
  <si>
    <t>section 1</t>
  </si>
  <si>
    <t>Coring site FYI part of the older floe</t>
  </si>
  <si>
    <t>some fresh snow on surface</t>
  </si>
  <si>
    <t xml:space="preserve">CONTRATS-PS_149 </t>
  </si>
  <si>
    <t>PS149-DO18-136</t>
  </si>
  <si>
    <t>conductivity probe 67953, S/N 11440477</t>
  </si>
  <si>
    <t>PS149-2c</t>
  </si>
  <si>
    <t>Ice Station 2c (event 36-1), coring on the main coring site.  FYI acording to density and salinity results from Station 2a (event 16-1) analysis of results</t>
  </si>
  <si>
    <t>mark end 343</t>
  </si>
  <si>
    <t>mark start 342</t>
  </si>
  <si>
    <t>borehole (biased here? Since core bottom was only at -1</t>
  </si>
  <si>
    <t>David Clemens-Seewal</t>
  </si>
  <si>
    <t>20250812-PS149_36-1-SI_corer_9cm-016-FYI-SALO18</t>
  </si>
  <si>
    <t>with SSL</t>
  </si>
  <si>
    <t>20250812-PS149_36-1-SI_corer_9cm-017-FYI-T</t>
  </si>
  <si>
    <t>20250812-PS149_36-1-SI_corer_9cm-018-FYI-REP</t>
  </si>
  <si>
    <t>20250812-PS149_36-1-SI_corer_9cm-019-FYI-RHO</t>
  </si>
  <si>
    <t>T-core packed as REP core. See T-core for more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</si>
</sst>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zoomScale="85" zoomScaleNormal="85" workbookViewId="0">
      <selection activeCell="C10" sqref="C10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7">
      <c r="A1" s="7" t="s">
        <v>0</v>
      </c>
      <c r="B1" s="8" t="s">
        <v>1</v>
      </c>
      <c r="C1" s="143" t="s">
        <v>319</v>
      </c>
      <c r="D1" s="143"/>
      <c r="E1" s="143"/>
      <c r="F1" s="9"/>
    </row>
    <row r="2" spans="1:7" ht="14.4">
      <c r="A2" s="7" t="s">
        <v>2</v>
      </c>
      <c r="B2" s="8"/>
      <c r="C2" s="10">
        <v>45881</v>
      </c>
      <c r="D2" s="11" t="s">
        <v>3</v>
      </c>
      <c r="E2" s="9"/>
      <c r="F2" s="9"/>
    </row>
    <row r="3" spans="1:7" ht="14.4">
      <c r="A3" s="7" t="s">
        <v>4</v>
      </c>
      <c r="B3" s="8"/>
      <c r="C3" s="12">
        <v>0.45902777777777776</v>
      </c>
      <c r="D3" s="11" t="s">
        <v>3</v>
      </c>
      <c r="E3" s="9"/>
      <c r="F3" s="9"/>
    </row>
    <row r="4" spans="1:7">
      <c r="A4" s="13" t="s">
        <v>5</v>
      </c>
      <c r="B4" s="14" t="s">
        <v>1</v>
      </c>
      <c r="C4" s="143" t="s">
        <v>321</v>
      </c>
      <c r="D4" s="143"/>
      <c r="E4" s="143"/>
      <c r="F4" s="9"/>
    </row>
    <row r="5" spans="1:7">
      <c r="A5" s="9"/>
      <c r="B5" s="9"/>
      <c r="C5" s="9"/>
      <c r="D5" s="9"/>
      <c r="E5" s="9"/>
      <c r="F5" s="9"/>
    </row>
    <row r="6" spans="1:7">
      <c r="A6" s="15" t="s">
        <v>6</v>
      </c>
      <c r="B6" s="9"/>
      <c r="C6" s="9"/>
      <c r="D6" s="9"/>
      <c r="E6" s="9"/>
      <c r="F6" s="9"/>
    </row>
    <row r="7" spans="1:7" ht="14.4">
      <c r="A7" s="7" t="s">
        <v>7</v>
      </c>
      <c r="B7" s="8" t="s">
        <v>8</v>
      </c>
      <c r="C7" s="16">
        <v>1.03</v>
      </c>
      <c r="D7" s="17" t="s">
        <v>9</v>
      </c>
      <c r="E7" s="9"/>
      <c r="F7" s="9"/>
      <c r="G7" s="6" t="s">
        <v>317</v>
      </c>
    </row>
    <row r="8" spans="1:7" ht="14.4">
      <c r="A8" s="7" t="s">
        <v>10</v>
      </c>
      <c r="B8" s="8" t="s">
        <v>8</v>
      </c>
      <c r="C8" s="16">
        <v>0.9</v>
      </c>
      <c r="D8" s="17" t="s">
        <v>9</v>
      </c>
      <c r="E8" s="9"/>
      <c r="F8" s="9"/>
    </row>
    <row r="9" spans="1:7">
      <c r="A9" s="7" t="s">
        <v>11</v>
      </c>
      <c r="B9" s="8" t="s">
        <v>8</v>
      </c>
      <c r="C9" s="18"/>
      <c r="D9" s="9"/>
      <c r="E9" s="9"/>
      <c r="F9" s="9"/>
    </row>
    <row r="10" spans="1:7">
      <c r="A10" s="7" t="s">
        <v>12</v>
      </c>
      <c r="B10" s="8" t="s">
        <v>8</v>
      </c>
      <c r="C10" s="16">
        <v>1.04</v>
      </c>
      <c r="D10" s="9" t="s">
        <v>13</v>
      </c>
      <c r="E10" s="9"/>
      <c r="F10" s="9"/>
    </row>
    <row r="11" spans="1:7">
      <c r="A11" s="9"/>
      <c r="B11" s="9"/>
      <c r="C11" s="9"/>
      <c r="D11" s="9"/>
      <c r="E11" s="9"/>
      <c r="F11" s="9"/>
    </row>
    <row r="12" spans="1:7">
      <c r="A12" s="19" t="s">
        <v>14</v>
      </c>
      <c r="B12" s="19"/>
      <c r="C12" s="19"/>
      <c r="D12" s="19"/>
      <c r="E12" s="19"/>
      <c r="F12" s="19"/>
    </row>
    <row r="13" spans="1:7">
      <c r="A13" s="19" t="s">
        <v>15</v>
      </c>
      <c r="B13" s="19"/>
      <c r="C13" s="143" t="s">
        <v>298</v>
      </c>
      <c r="D13" s="143"/>
      <c r="E13" s="143"/>
      <c r="F13" s="143"/>
    </row>
    <row r="14" spans="1:7">
      <c r="B14" s="6" t="s">
        <v>300</v>
      </c>
      <c r="C14" s="6" t="s">
        <v>301</v>
      </c>
      <c r="D14" s="5"/>
      <c r="E14" s="5"/>
      <c r="F14" s="5"/>
    </row>
    <row r="15" spans="1:7">
      <c r="B15" s="6" t="s">
        <v>309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opLeftCell="A15" zoomScale="85" zoomScaleNormal="85" workbookViewId="0">
      <selection activeCell="N26" sqref="N26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5" t="s">
        <v>307</v>
      </c>
      <c r="D3" s="145"/>
      <c r="E3" s="145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6" t="s">
        <v>305</v>
      </c>
      <c r="D4" s="146"/>
      <c r="E4" s="146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7" t="s">
        <v>23</v>
      </c>
      <c r="D6" s="147"/>
      <c r="E6" s="147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84.477710999999999</v>
      </c>
      <c r="D8" s="30"/>
      <c r="E8" s="31"/>
      <c r="F8">
        <v>84.478781999999995</v>
      </c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22.103874999999999</v>
      </c>
      <c r="D9" s="34"/>
      <c r="E9" s="35"/>
      <c r="F9">
        <v>22.061543</v>
      </c>
      <c r="G9" s="34"/>
      <c r="I9" s="22" t="s">
        <v>313</v>
      </c>
      <c r="J9" s="22" t="s">
        <v>312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45881</v>
      </c>
      <c r="D12" s="38">
        <v>45881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0.45902777777777776</v>
      </c>
      <c r="D13" s="39">
        <v>0.4909722222222222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0.02</v>
      </c>
      <c r="D16">
        <v>0.03</v>
      </c>
      <c r="E16">
        <v>0.04</v>
      </c>
      <c r="F16">
        <v>0.04</v>
      </c>
      <c r="G16">
        <v>0.02</v>
      </c>
      <c r="I16" s="22" t="s">
        <v>306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-0.1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-1.1000000000000001</v>
      </c>
      <c r="D28" s="49" t="s">
        <v>62</v>
      </c>
      <c r="E28" s="49"/>
      <c r="F28" s="22">
        <v>-1.6</v>
      </c>
      <c r="G28" s="22" t="s">
        <v>314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310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316</v>
      </c>
      <c r="D31" s="52" t="s">
        <v>318</v>
      </c>
      <c r="E31" s="52" t="s">
        <v>319</v>
      </c>
      <c r="F31" s="52" t="s">
        <v>320</v>
      </c>
      <c r="G31" s="52" t="s">
        <v>303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297</v>
      </c>
      <c r="D32" t="s">
        <v>299</v>
      </c>
      <c r="E32" t="s">
        <v>302</v>
      </c>
      <c r="F32" t="s">
        <v>315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9"/>
      <c r="D33" s="149"/>
      <c r="E33" s="149"/>
      <c r="F33" s="149"/>
      <c r="G33" s="149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5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>
        <v>163</v>
      </c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50" t="s">
        <v>79</v>
      </c>
      <c r="B41" s="150"/>
      <c r="C41" s="150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1" t="s">
        <v>311</v>
      </c>
      <c r="B42" s="151"/>
      <c r="C42" s="151"/>
      <c r="D42" s="151"/>
      <c r="E42" s="151"/>
      <c r="F42" s="15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7"/>
  <sheetViews>
    <sheetView zoomScale="85" zoomScaleNormal="85" workbookViewId="0">
      <selection activeCell="K23" sqref="K23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/>
      <c r="B5" s="141"/>
      <c r="C5" s="142"/>
      <c r="E5" s="6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/>
      <c r="B6" s="142"/>
      <c r="C6" s="142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/>
      <c r="B7" s="141"/>
      <c r="C7" s="142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/>
      <c r="B8" s="142"/>
      <c r="C8" s="142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/>
      <c r="B9" s="141"/>
      <c r="C9" s="142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/>
      <c r="B10" s="142"/>
      <c r="C10" s="142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/>
      <c r="B11" s="141"/>
      <c r="C11" s="142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1"/>
      <c r="B12" s="142"/>
      <c r="C12" s="142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1"/>
      <c r="B13" s="141"/>
      <c r="C13" s="142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1"/>
      <c r="B14" s="142"/>
      <c r="C14" s="142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1"/>
      <c r="B15" s="141"/>
      <c r="C15" s="142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1"/>
      <c r="B16" s="142"/>
      <c r="C16" s="142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1"/>
      <c r="B17" s="141"/>
      <c r="C17" s="142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1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1"/>
      <c r="B19" s="141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1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1"/>
      <c r="B21" s="141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1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1"/>
      <c r="B23" s="141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1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1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1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1"/>
      <c r="B27" s="141"/>
      <c r="C27" s="142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1"/>
      <c r="B28" s="142"/>
      <c r="C28" s="142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1"/>
      <c r="B29" s="141"/>
      <c r="C29" s="142"/>
      <c r="E29" s="62"/>
      <c r="I29" s="6" t="s">
        <v>308</v>
      </c>
      <c r="K29" s="6" t="s">
        <v>308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>
      <c r="D47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A4" sqref="A4:A21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3" t="s">
        <v>95</v>
      </c>
      <c r="D2" s="153"/>
      <c r="E2" s="153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4" t="s">
        <v>1</v>
      </c>
      <c r="D3" s="154"/>
      <c r="E3" s="154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/>
      <c r="B4" s="70"/>
      <c r="C4" s="155"/>
      <c r="D4" s="155"/>
      <c r="E4" s="155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/>
      <c r="B5" s="70"/>
      <c r="C5" s="155"/>
      <c r="D5" s="155"/>
      <c r="E5" s="155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/>
      <c r="B6" s="70"/>
      <c r="C6" s="155"/>
      <c r="D6" s="155"/>
      <c r="E6" s="155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/>
      <c r="B7" s="70"/>
      <c r="C7" s="155"/>
      <c r="D7" s="155"/>
      <c r="E7" s="155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/>
      <c r="B8" s="70"/>
      <c r="C8" s="155"/>
      <c r="D8" s="155"/>
      <c r="E8" s="155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/>
      <c r="B9" s="70"/>
      <c r="C9" s="155"/>
      <c r="D9" s="155"/>
      <c r="E9" s="155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/>
      <c r="B10" s="70"/>
      <c r="C10" s="155"/>
      <c r="D10" s="155"/>
      <c r="E10" s="155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/>
      <c r="B11" s="70"/>
      <c r="C11" s="155"/>
      <c r="D11" s="155"/>
      <c r="E11" s="155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/>
      <c r="B12" s="70"/>
      <c r="C12" s="155"/>
      <c r="D12" s="155"/>
      <c r="E12" s="155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/>
      <c r="B13" s="70"/>
      <c r="C13" s="155"/>
      <c r="D13" s="155"/>
      <c r="E13" s="155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/>
      <c r="B14" s="70"/>
      <c r="C14" s="155"/>
      <c r="D14" s="155"/>
      <c r="E14" s="155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70"/>
      <c r="B15" s="70"/>
      <c r="C15" s="155"/>
      <c r="D15" s="155"/>
      <c r="E15" s="155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/>
      <c r="B16" s="70"/>
      <c r="C16" s="155"/>
      <c r="D16" s="155"/>
      <c r="E16" s="155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/>
      <c r="B17" s="70"/>
      <c r="C17" s="155"/>
      <c r="D17" s="155"/>
      <c r="E17" s="155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/>
      <c r="B18" s="70"/>
      <c r="C18" s="155"/>
      <c r="D18" s="155"/>
      <c r="E18" s="155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5"/>
      <c r="D19" s="155"/>
      <c r="E19" s="155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5"/>
      <c r="D20" s="155"/>
      <c r="E20" s="155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5"/>
      <c r="D21" s="155"/>
      <c r="E21" s="155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5"/>
      <c r="D22" s="155"/>
      <c r="E22" s="155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5"/>
      <c r="D23" s="155"/>
      <c r="E23" s="15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5"/>
      <c r="D24" s="155"/>
      <c r="E24" s="15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5"/>
      <c r="D25" s="155"/>
      <c r="E25" s="15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5"/>
      <c r="D26" s="155"/>
      <c r="E26" s="15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5"/>
      <c r="D27" s="155"/>
      <c r="E27" s="15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5"/>
      <c r="D28" s="155"/>
      <c r="E28" s="15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5"/>
      <c r="D29" s="155"/>
      <c r="E29" s="15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5"/>
      <c r="D30" s="155"/>
      <c r="E30" s="15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5"/>
      <c r="D31" s="155"/>
      <c r="E31" s="15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5"/>
      <c r="D32" s="155"/>
      <c r="E32" s="15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5"/>
      <c r="D33" s="155"/>
      <c r="E33" s="15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5"/>
      <c r="D34" s="155"/>
      <c r="E34" s="15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5"/>
      <c r="D35" s="155"/>
      <c r="E35" s="15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5"/>
      <c r="D36" s="155"/>
      <c r="E36" s="15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5"/>
      <c r="D37" s="155"/>
      <c r="E37" s="15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5"/>
      <c r="D38" s="155"/>
      <c r="E38" s="15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5"/>
      <c r="D39" s="155"/>
      <c r="E39" s="15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tabSelected="1" zoomScale="85" zoomScaleNormal="85" workbookViewId="0">
      <selection activeCell="C6" sqref="C6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6" t="s">
        <v>105</v>
      </c>
      <c r="E2" s="156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7" t="s">
        <v>106</v>
      </c>
      <c r="E3" s="157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1.04</v>
      </c>
      <c r="D4" s="158"/>
      <c r="E4" s="158"/>
      <c r="F4" s="6" t="s">
        <v>304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C5" s="6">
        <v>0.32</v>
      </c>
      <c r="D5" s="158" t="s">
        <v>181</v>
      </c>
      <c r="E5" s="15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D6" s="158"/>
      <c r="E6" s="15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8"/>
      <c r="E7" s="158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8"/>
      <c r="E8" s="15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8"/>
      <c r="E9" s="15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8"/>
      <c r="E10" s="15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8"/>
      <c r="E11" s="15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8"/>
      <c r="E12" s="15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8"/>
      <c r="E13" s="15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8"/>
      <c r="E14" s="15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8"/>
      <c r="E15" s="15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8"/>
      <c r="E16" s="15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8"/>
      <c r="E17" s="15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8"/>
      <c r="E18" s="15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8"/>
      <c r="E19" s="15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8"/>
      <c r="E20" s="15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8"/>
      <c r="E21" s="15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8"/>
      <c r="E22" s="15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8"/>
      <c r="E23" s="15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8"/>
      <c r="E24" s="15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8"/>
      <c r="E25" s="15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8"/>
      <c r="E26" s="158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8"/>
      <c r="E27" s="158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8"/>
      <c r="E28" s="15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8"/>
      <c r="E29" s="15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8"/>
      <c r="E30" s="15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8"/>
      <c r="E31" s="15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8"/>
      <c r="E32" s="15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8"/>
      <c r="E33" s="15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8"/>
      <c r="E34" s="15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8"/>
      <c r="E35" s="15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8"/>
      <c r="E36" s="15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8"/>
      <c r="E37" s="15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8"/>
      <c r="E38" s="15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8"/>
      <c r="E39" s="15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8"/>
      <c r="E40" s="15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8"/>
      <c r="E41" s="15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8"/>
      <c r="E42" s="15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8"/>
      <c r="E43" s="15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8"/>
      <c r="E44" s="15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8"/>
      <c r="E45" s="15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8"/>
      <c r="E46" s="15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59" t="s">
        <v>122</v>
      </c>
      <c r="G2" s="159"/>
      <c r="H2" s="159" t="s">
        <v>123</v>
      </c>
      <c r="I2" s="159"/>
      <c r="J2" s="160" t="s">
        <v>124</v>
      </c>
      <c r="K2" s="160"/>
      <c r="L2" s="159" t="s">
        <v>125</v>
      </c>
      <c r="M2" s="159"/>
      <c r="N2" s="160" t="s">
        <v>126</v>
      </c>
      <c r="O2" s="160"/>
      <c r="P2" s="162" t="s">
        <v>127</v>
      </c>
      <c r="Q2" s="162"/>
      <c r="R2" s="156" t="s">
        <v>128</v>
      </c>
      <c r="S2" s="156"/>
      <c r="T2" s="162" t="s">
        <v>129</v>
      </c>
      <c r="U2" s="162"/>
      <c r="V2" s="156" t="s">
        <v>130</v>
      </c>
      <c r="W2" s="156"/>
      <c r="X2" s="162" t="s">
        <v>131</v>
      </c>
      <c r="Y2" s="162"/>
      <c r="Z2" s="161" t="s">
        <v>132</v>
      </c>
      <c r="AA2" s="161"/>
      <c r="AB2" s="161" t="s">
        <v>133</v>
      </c>
      <c r="AC2" s="161"/>
      <c r="AD2" s="162" t="s">
        <v>134</v>
      </c>
      <c r="AE2" s="162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6" t="s">
        <v>92</v>
      </c>
      <c r="I1" s="156"/>
      <c r="J1" s="156" t="s">
        <v>93</v>
      </c>
      <c r="K1" s="156"/>
      <c r="L1" s="60"/>
      <c r="M1" s="58" t="s">
        <v>95</v>
      </c>
      <c r="N1" s="9"/>
      <c r="O1" s="19" t="s">
        <v>141</v>
      </c>
      <c r="P1" s="19"/>
      <c r="Q1" s="9"/>
      <c r="R1" s="159" t="s">
        <v>122</v>
      </c>
      <c r="S1" s="159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5" t="s">
        <v>176</v>
      </c>
      <c r="J1" s="165"/>
      <c r="K1" s="165"/>
      <c r="L1" s="165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2025-08-12T17:20:27Z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