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salg001\Documents\MATLAB\Contrasts coring\Data\IceStation2c\12aug2025coring\"/>
    </mc:Choice>
  </mc:AlternateContent>
  <xr:revisionPtr revIDLastSave="0" documentId="13_ncr:1_{F754AC26-A036-43B7-9F60-A46490D9C506}" xr6:coauthVersionLast="47" xr6:coauthVersionMax="47" xr10:uidLastSave="{00000000-0000-0000-0000-000000000000}"/>
  <bookViews>
    <workbookView xWindow="0" yWindow="0" windowWidth="19410" windowHeight="20880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19" i="7" l="1"/>
  <c r="G26" i="7"/>
  <c r="G23" i="7"/>
  <c r="G22" i="7"/>
  <c r="G21" i="7"/>
  <c r="G20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<sst xmlns="http://schemas.openxmlformats.org/spreadsheetml/2006/main" count="723" uniqueCount="358">
  <si>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</si>
  <si>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</si>
  <si>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</si>
  <si>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</si>
  <si>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</si>
  <si>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</si>
  <si>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</si>
  <si>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</si>
  <si>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</si>
  <si>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</si>
  <si>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</si>
  <si>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</si>
  <si>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</si>
  <si>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</si>
  <si>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</si>
  <si>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</si>
  <si>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</si>
  <si>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</si>
  <si>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</si>
  <si>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</si>
  <si>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</si>
  <si>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</si>
  <si>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</si>
  <si>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</si>
  <si>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</si>
  <si>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</si>
  <si>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</si>
  <si>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</si>
  <si>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</si>
  <si>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</si>
  <si>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</si>
  <si>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</si>
  <si>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</si>
  <si>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</si>
  <si>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</si>
  <si>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</si>
  <si>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</si>
  <si>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</si>
  <si>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</si>
  <si>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</si>
  <si>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</si>
  <si>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</si>
  <si>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</si>
  <si>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</si>
  <si>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</si>
  <si>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</si>
  <si>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</si>
  <si>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</si>
  <si>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</si>
  <si>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</si>
  <si>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</si>
  <si>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</si>
  <si>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</si>
  <si>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</si>
  <si>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</si>
  <si>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</si>
  <si>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</si>
  <si>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</si>
  <si>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</si>
  <si>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</si>
  <si>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</si>
  <si>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</si>
  <si>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</si>
  <si>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</si>
  <si>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</si>
  <si>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</si>
  <si>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</si>
  <si>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</si>
  <si>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</si>
  <si>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</si>
  <si>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</si>
  <si>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</si>
  <si>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</si>
  <si>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</si>
  <si>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</si>
  <si>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</si>
  <si>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</si>
  <si>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</si>
  <si>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</si>
  <si>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</si>
  <si>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</si>
  <si>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</si>
  <si>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</si>
  <si>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</si>
  <si>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</si>
  <si>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</si>
  <si>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</si>
  <si>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</si>
  <si>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</si>
  <si>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</si>
  <si>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</si>
  <si>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</si>
  <si>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</si>
  <si>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</si>
  <si>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</si>
  <si>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</si>
  <si>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</si>
  <si>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</si>
  <si>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</si>
  <si>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</si>
  <si>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</si>
  <si>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</si>
  <si>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</si>
  <si>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</si>
  <si>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</si>
  <si>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</si>
  <si>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</si>
  <si>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</si>
  <si>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</si>
  <si>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</si>
  <si>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</si>
  <si>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</si>
  <si>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</si>
  <si>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</si>
  <si>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</si>
  <si>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</si>
  <si>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</si>
  <si>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</si>
  <si>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</si>
  <si>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</si>
  <si>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</si>
  <si>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</si>
  <si>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</si>
  <si>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</si>
  <si>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</si>
  <si>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</si>
  <si>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</si>
  <si>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</si>
  <si>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</si>
  <si>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</si>
  <si>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</si>
  <si>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</si>
  <si>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</si>
  <si>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</si>
  <si>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</si>
  <si>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</si>
  <si>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</si>
  <si>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</si>
  <si>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</si>
  <si>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</si>
  <si>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</si>
  <si>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</si>
  <si>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</si>
  <si>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</si>
  <si>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</si>
  <si>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</si>
  <si>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</si>
  <si>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</si>
  <si>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</si>
  <si>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</si>
  <si>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</si>
  <si>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</si>
  <si>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</si>
  <si>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</si>
  <si>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</si>
  <si>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</si>
  <si>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</si>
  <si>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</si>
  <si>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</si>
  <si>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</si>
  <si>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</si>
  <si>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</si>
  <si>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</si>
  <si>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</si>
  <si>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</si>
  <si>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</si>
  <si>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</si>
  <si>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</si>
  <si>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</si>
  <si>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</si>
  <si>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</si>
  <si>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</si>
  <si>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</si>
  <si>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</si>
  <si>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</si>
  <si>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</si>
  <si>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</si>
  <si>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</si>
  <si>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</si>
  <si>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</si>
  <si>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</si>
  <si>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</si>
  <si>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</si>
  <si>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</si>
  <si>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</si>
  <si>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</si>
  <si>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</si>
  <si>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</si>
  <si>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</si>
  <si>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</si>
  <si>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</si>
  <si>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</si>
  <si>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</si>
  <si>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</si>
  <si>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</si>
  <si>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</si>
  <si>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</si>
  <si>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</si>
  <si>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</si>
  <si>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</si>
  <si>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</si>
  <si>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</si>
  <si>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</si>
  <si>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</si>
  <si>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</si>
  <si>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</si>
  <si>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</si>
  <si>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</si>
  <si>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</si>
  <si>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</si>
  <si>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</si>
  <si>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</si>
  <si>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</si>
  <si>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</si>
  <si>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</si>
  <si>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</si>
  <si>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</si>
  <si>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</si>
  <si>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</si>
  <si>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</si>
  <si>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</si>
  <si>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</si>
  <si>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</si>
  <si>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</si>
  <si>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</si>
  <si>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</si>
  <si>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</si>
  <si>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</si>
  <si>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</si>
  <si>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</si>
  <si>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</si>
  <si>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</si>
  <si>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</si>
  <si>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</si>
  <si>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</si>
  <si>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</si>
  <si>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</si>
  <si>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</si>
  <si>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</si>
  <si>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</si>
  <si>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</si>
  <si>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</si>
  <si>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</si>
  <si>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</si>
  <si>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</si>
  <si>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</si>
  <si>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</si>
  <si>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</si>
  <si>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</si>
  <si>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</si>
  <si>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</si>
  <si>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</si>
  <si>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</si>
  <si>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</si>
  <si>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</si>
  <si>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</si>
  <si>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</si>
  <si>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</si>
  <si>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</si>
  <si>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</si>
  <si>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</si>
  <si>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</si>
  <si>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</si>
  <si>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</si>
  <si>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</si>
  <si>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</si>
  <si>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</si>
  <si>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</si>
  <si>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</si>
  <si>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</si>
  <si>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</si>
  <si>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</si>
  <si>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</si>
  <si>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</si>
  <si>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</si>
  <si>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</si>
  <si>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</si>
  <si>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</si>
  <si>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</si>
  <si>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</si>
  <si>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</si>
  <si>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</si>
  <si>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</si>
  <si>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</si>
  <si>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</si>
  <si>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</si>
  <si>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</si>
  <si>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</si>
  <si>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</si>
  <si>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</si>
  <si>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</si>
  <si>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</si>
  <si>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</si>
  <si>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</si>
  <si>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</si>
  <si>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</si>
  <si>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</si>
  <si>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</si>
  <si>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</si>
  <si>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</si>
  <si>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</si>
  <si>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</si>
  <si>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</si>
  <si>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all ECO and BGC cores</t>
  </si>
  <si>
    <t>section 1</t>
  </si>
  <si>
    <t>Coring site FYI part of the older floe</t>
  </si>
  <si>
    <t>some fresh snow on surface</t>
  </si>
  <si>
    <t xml:space="preserve">CONTRATS-PS_149 </t>
  </si>
  <si>
    <t>PS149-DO18-136</t>
  </si>
  <si>
    <t>conductivity probe 67953, S/N 11440477</t>
  </si>
  <si>
    <t>PS149-2c</t>
  </si>
  <si>
    <t>Ice Station 2c (event 36-1), coring on the main coring site.  FYI acording to density and salinity results from Station 2a (event 16-1) analysis of results</t>
  </si>
  <si>
    <t>mark end 343</t>
  </si>
  <si>
    <t>mark start 342</t>
  </si>
  <si>
    <t>borehole (biased here? Since core bottom was only at -1</t>
  </si>
  <si>
    <t>David Clemens-Seewal</t>
  </si>
  <si>
    <t>20250812-PS149_36-1-SI_corer_9cm-016-FYI-SALO18</t>
  </si>
  <si>
    <t>with SSL</t>
  </si>
  <si>
    <t>20250812-PS149_36-1-SI_corer_9cm-017-FYI-T</t>
  </si>
  <si>
    <t>20250812-PS149_36-1-SI_corer_9cm-018-FYI-REP</t>
  </si>
  <si>
    <t>20250812-PS149_36-1-SI_corer_9cm-019-FYI-RHO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</si>
  <si>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</si>
  <si>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</si>
  <si>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</si>
  <si>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</si>
  <si>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</si>
  <si>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</si>
  <si>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</si>
  <si>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</si>
  <si>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</si>
  <si>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</si>
  <si>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</si>
  <si>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</si>
  <si>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</si>
  <si>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</si>
  <si>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</si>
  <si>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</si>
  <si>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</si>
  <si>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</si>
  <si>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</si>
  <si>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C17</t>
  </si>
  <si>
    <t>rho parafine=0.833 (measured right after the densimetry)</t>
  </si>
  <si>
    <t>packed onsite and brought onboard for processing. Cut within 1.5 hour from recover, was not yet fully frozen. Some brine/water from voids has leaked. Pictures of the core taken both onsite and in the lab</t>
  </si>
  <si>
    <t>large bubbles; bubbles out at immersion</t>
  </si>
  <si>
    <t>large bubbles and voids; bubbles out at immersion</t>
  </si>
  <si>
    <t>large bubbles; bubbles out at immersion; nearly floats</t>
  </si>
  <si>
    <t>large bubbles and melt channels; bubbles out at immersion</t>
  </si>
  <si>
    <t>large bubbles; nearly floats</t>
  </si>
  <si>
    <t>smaller bubbles, bubbles out at immersion</t>
  </si>
  <si>
    <t>smaller bubbles and melt channels, bubbles out at immersion</t>
  </si>
  <si>
    <t>smaller bubbles and melt channels, bubbles out at immersion; nearly floats</t>
  </si>
  <si>
    <t>large bubbles; a bit of bubbles out at immersion</t>
  </si>
  <si>
    <t>Piece 1; large bubbles; a bit of bubbles out at immersion</t>
  </si>
  <si>
    <t>Piece 2 from J16; large bubbles;</t>
  </si>
  <si>
    <t>"white" layer</t>
  </si>
  <si>
    <t>less white</t>
  </si>
  <si>
    <t>strips of melt layers</t>
  </si>
  <si>
    <t>Tlab = 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</si>
</sst>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FYI Station 2c RHO 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SALO18!$C$5:$C$29</c:f>
              <c:numCache>
                <c:formatCode>0.00</c:formatCode>
                <c:ptCount val="2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0.79</c:v>
                </c:pt>
                <c:pt idx="16">
                  <c:v>0.85499999999999998</c:v>
                </c:pt>
                <c:pt idx="17">
                  <c:v>0.90500000000000003</c:v>
                </c:pt>
                <c:pt idx="18">
                  <c:v>0.95500000000000007</c:v>
                </c:pt>
                <c:pt idx="19">
                  <c:v>1.0049999999999999</c:v>
                </c:pt>
              </c:numCache>
            </c:numRef>
          </c:xVal>
          <c:yVal>
            <c:numRef>
              <c:f>SALO18!$E$5:$E$29</c:f>
              <c:numCache>
                <c:formatCode>General</c:formatCode>
                <c:ptCount val="25"/>
                <c:pt idx="0">
                  <c:v>1.7</c:v>
                </c:pt>
                <c:pt idx="1">
                  <c:v>0.9</c:v>
                </c:pt>
                <c:pt idx="2">
                  <c:v>0.8</c:v>
                </c:pt>
                <c:pt idx="3">
                  <c:v>0.8</c:v>
                </c:pt>
                <c:pt idx="4">
                  <c:v>1.2</c:v>
                </c:pt>
                <c:pt idx="5">
                  <c:v>1</c:v>
                </c:pt>
                <c:pt idx="6">
                  <c:v>1</c:v>
                </c:pt>
                <c:pt idx="7">
                  <c:v>1.3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2.9</c:v>
                </c:pt>
                <c:pt idx="16">
                  <c:v>2.7</c:v>
                </c:pt>
                <c:pt idx="17">
                  <c:v>2.4</c:v>
                </c:pt>
                <c:pt idx="18">
                  <c:v>2</c:v>
                </c:pt>
                <c:pt idx="19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9F-465C-B501-BD54FDF9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67551"/>
        <c:axId val="267475231"/>
      </c:scatterChart>
      <c:valAx>
        <c:axId val="26746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75231"/>
        <c:crosses val="autoZero"/>
        <c:crossBetween val="midCat"/>
      </c:valAx>
      <c:valAx>
        <c:axId val="2674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6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</a:t>
            </a:r>
            <a:r>
              <a:rPr lang="nb-NO" baseline="0"/>
              <a:t> density FYI Station 2c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'Density-densimetry'!$C$4:$C$23</c:f>
              <c:numCache>
                <c:formatCode>0.00</c:formatCode>
                <c:ptCount val="20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0.79</c:v>
                </c:pt>
                <c:pt idx="16">
                  <c:v>0.85499999999999998</c:v>
                </c:pt>
                <c:pt idx="17">
                  <c:v>0.90500000000000003</c:v>
                </c:pt>
                <c:pt idx="18">
                  <c:v>0.95500000000000007</c:v>
                </c:pt>
                <c:pt idx="19">
                  <c:v>1.0049999999999999</c:v>
                </c:pt>
              </c:numCache>
            </c:numRef>
          </c:xVal>
          <c:yVal>
            <c:numRef>
              <c:f>'Density-densimetry'!$G$4:$G$23</c:f>
              <c:numCache>
                <c:formatCode>General</c:formatCode>
                <c:ptCount val="20"/>
                <c:pt idx="0">
                  <c:v>0.84746760187040748</c:v>
                </c:pt>
                <c:pt idx="1">
                  <c:v>0.85516173986486488</c:v>
                </c:pt>
                <c:pt idx="2">
                  <c:v>0.861165807793147</c:v>
                </c:pt>
                <c:pt idx="3">
                  <c:v>0.84731614708233405</c:v>
                </c:pt>
                <c:pt idx="4">
                  <c:v>0.84218317158202205</c:v>
                </c:pt>
                <c:pt idx="5">
                  <c:v>0.83922101449275344</c:v>
                </c:pt>
                <c:pt idx="6">
                  <c:v>0.86405244906805379</c:v>
                </c:pt>
                <c:pt idx="7">
                  <c:v>0.85330083899320808</c:v>
                </c:pt>
                <c:pt idx="8">
                  <c:v>0.84435076923076924</c:v>
                </c:pt>
                <c:pt idx="9">
                  <c:v>0.88495497728211481</c:v>
                </c:pt>
                <c:pt idx="10">
                  <c:v>0.87499056866753377</c:v>
                </c:pt>
                <c:pt idx="11">
                  <c:v>0.88615736040609139</c:v>
                </c:pt>
                <c:pt idx="12">
                  <c:v>0.85168492436098064</c:v>
                </c:pt>
                <c:pt idx="13">
                  <c:v>0.87527631578947362</c:v>
                </c:pt>
                <c:pt idx="14">
                  <c:v>0.87354888795635743</c:v>
                </c:pt>
                <c:pt idx="15">
                  <c:v>0.89086577930701427</c:v>
                </c:pt>
                <c:pt idx="16">
                  <c:v>0.89629400534555159</c:v>
                </c:pt>
                <c:pt idx="17">
                  <c:v>0.90271306575576427</c:v>
                </c:pt>
                <c:pt idx="18">
                  <c:v>0.90783455284552839</c:v>
                </c:pt>
                <c:pt idx="19">
                  <c:v>0.91459020525747203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44-4647-ABCB-BA82A8E4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629760"/>
        <c:axId val="917634080"/>
      </c:scatterChart>
      <c:valAx>
        <c:axId val="91762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34080"/>
        <c:crosses val="autoZero"/>
        <c:crossBetween val="midCat"/>
      </c:valAx>
      <c:valAx>
        <c:axId val="91763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2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905435</xdr:colOff>
      <xdr:row>15</xdr:row>
      <xdr:rowOff>8965</xdr:rowOff>
    </xdr:from>
    <xdr:to>
      <xdr:col>20</xdr:col>
      <xdr:colOff>286870</xdr:colOff>
      <xdr:row>29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C5C5E-A282-4E82-4C0A-530ACF4F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358588</xdr:colOff>
      <xdr:row>2</xdr:row>
      <xdr:rowOff>62753</xdr:rowOff>
    </xdr:from>
    <xdr:to>
      <xdr:col>20</xdr:col>
      <xdr:colOff>484094</xdr:colOff>
      <xdr:row>17</xdr:row>
      <xdr:rowOff>116541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F3BA1-91B9-D16F-0F18-31CF094D5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4" sqref="C4:E4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7" ht="15">
      <c r="A1" s="7" t="s">
        <v>0</v>
      </c>
      <c r="B1" s="8" t="s">
        <v>1</v>
      </c>
      <c r="C1" s="143" t="s">
        <v>320</v>
      </c>
      <c r="D1" s="143"/>
      <c r="E1" s="143"/>
      <c r="F1" s="9"/>
    </row>
    <row r="2" spans="1:7" ht="15">
      <c r="A2" s="7" t="s">
        <v>2</v>
      </c>
      <c r="B2" s="8"/>
      <c r="C2" s="10">
        <v>45881</v>
      </c>
      <c r="D2" s="11" t="s">
        <v>3</v>
      </c>
      <c r="E2" s="9"/>
      <c r="F2" s="9"/>
    </row>
    <row r="3" spans="1:7" ht="15">
      <c r="A3" s="7" t="s">
        <v>4</v>
      </c>
      <c r="B3" s="8"/>
      <c r="C3" s="12">
        <v>0.45902777777777776</v>
      </c>
      <c r="D3" s="11" t="s">
        <v>3</v>
      </c>
      <c r="E3" s="9"/>
      <c r="F3" s="9"/>
    </row>
    <row r="4" spans="1:7" ht="15">
      <c r="A4" s="13" t="s">
        <v>5</v>
      </c>
      <c r="B4" s="14" t="s">
        <v>1</v>
      </c>
      <c r="C4" s="143" t="s">
        <v>342</v>
      </c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 ht="15">
      <c r="A6" s="15" t="s">
        <v>6</v>
      </c>
      <c r="B6" s="9"/>
      <c r="C6" s="9"/>
      <c r="D6" s="9"/>
      <c r="E6" s="9"/>
      <c r="F6" s="9"/>
    </row>
    <row r="7" spans="1:7" ht="15">
      <c r="A7" s="7" t="s">
        <v>7</v>
      </c>
      <c r="B7" s="8" t="s">
        <v>8</v>
      </c>
      <c r="C7" s="16">
        <v>1.01</v>
      </c>
      <c r="D7" s="17" t="s">
        <v>9</v>
      </c>
      <c r="E7" s="9"/>
      <c r="F7" s="9"/>
      <c r="G7" s="6" t="s">
        <v>317</v>
      </c>
    </row>
    <row r="8" spans="1:7" ht="15">
      <c r="A8" s="7" t="s">
        <v>10</v>
      </c>
      <c r="B8" s="8" t="s">
        <v>8</v>
      </c>
      <c r="C8" s="16">
        <v>0.89</v>
      </c>
      <c r="D8" s="17" t="s">
        <v>9</v>
      </c>
      <c r="E8" s="9"/>
      <c r="F8" s="9"/>
    </row>
    <row r="9" spans="1:7" ht="15">
      <c r="A9" s="7" t="s">
        <v>11</v>
      </c>
      <c r="B9" s="8" t="s">
        <v>8</v>
      </c>
      <c r="C9" s="18"/>
      <c r="D9" s="9"/>
      <c r="E9" s="9"/>
      <c r="F9" s="9"/>
    </row>
    <row r="10" spans="1:7" ht="15">
      <c r="A10" s="7" t="s">
        <v>12</v>
      </c>
      <c r="B10" s="8" t="s">
        <v>8</v>
      </c>
      <c r="C10" s="16">
        <v>1.03</v>
      </c>
      <c r="D10" s="9" t="s">
        <v>13</v>
      </c>
      <c r="E10" s="9"/>
      <c r="F10" s="9"/>
    </row>
    <row r="11" spans="1:7">
      <c r="A11" s="9"/>
      <c r="B11" s="9"/>
      <c r="C11" s="9"/>
      <c r="D11" s="9"/>
      <c r="E11" s="9"/>
      <c r="F11" s="9"/>
    </row>
    <row r="12" spans="1:7" ht="15">
      <c r="A12" s="19" t="s">
        <v>14</v>
      </c>
      <c r="B12" s="19"/>
      <c r="C12" s="19"/>
      <c r="D12" s="19"/>
      <c r="E12" s="19"/>
      <c r="F12" s="19"/>
    </row>
    <row r="13" spans="1:7" ht="15">
      <c r="A13" s="19" t="s">
        <v>15</v>
      </c>
      <c r="B13" s="19"/>
      <c r="C13" s="143" t="s">
        <v>298</v>
      </c>
      <c r="D13" s="143"/>
      <c r="E13" s="143"/>
      <c r="F13" s="143"/>
    </row>
    <row r="14" spans="1:7">
      <c r="B14" s="6" t="s">
        <v>300</v>
      </c>
      <c r="C14" s="6" t="s">
        <v>301</v>
      </c>
      <c r="D14" s="5"/>
      <c r="E14" s="5"/>
      <c r="F14" s="5"/>
    </row>
    <row r="15" spans="1:7">
      <c r="B15" s="6" t="s">
        <v>309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24" zoomScale="85" zoomScaleNormal="85" workbookViewId="0">
      <selection activeCell="F31" sqref="F31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307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305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84.477710999999999</v>
      </c>
      <c r="D8" s="30"/>
      <c r="E8" s="31"/>
      <c r="F8">
        <v>84.478781999999995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22.103874999999999</v>
      </c>
      <c r="D9" s="34"/>
      <c r="E9" s="35"/>
      <c r="F9">
        <v>22.061543</v>
      </c>
      <c r="G9" s="34"/>
      <c r="I9" s="22" t="s">
        <v>313</v>
      </c>
      <c r="J9" s="22" t="s">
        <v>312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45881</v>
      </c>
      <c r="D12" s="38">
        <v>45881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0.45902777777777776</v>
      </c>
      <c r="D13" s="39">
        <v>0.4909722222222222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0.02</v>
      </c>
      <c r="D16">
        <v>0.03</v>
      </c>
      <c r="E16">
        <v>0.04</v>
      </c>
      <c r="F16">
        <v>0.04</v>
      </c>
      <c r="G16">
        <v>0.02</v>
      </c>
      <c r="I16" s="22" t="s">
        <v>306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C28">
        <v>-1.1000000000000001</v>
      </c>
      <c r="D28" s="49" t="s">
        <v>62</v>
      </c>
      <c r="E28" s="49"/>
      <c r="F28" s="22">
        <v>-1.6</v>
      </c>
      <c r="G28" s="22" t="s">
        <v>314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310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45" t="s">
        <v>65</v>
      </c>
      <c r="B31" s="51"/>
      <c r="C31" s="52" t="s">
        <v>316</v>
      </c>
      <c r="D31" s="52" t="s">
        <v>318</v>
      </c>
      <c r="E31" s="52" t="s">
        <v>319</v>
      </c>
      <c r="F31" s="52" t="s">
        <v>320</v>
      </c>
      <c r="G31" s="52" t="s">
        <v>303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s="48" t="s">
        <v>297</v>
      </c>
      <c r="D32" t="s">
        <v>299</v>
      </c>
      <c r="E32" t="s">
        <v>302</v>
      </c>
      <c r="F32" t="s">
        <v>315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>
        <v>163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311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7"/>
  <sheetViews>
    <sheetView zoomScale="85" zoomScaleNormal="85" workbookViewId="0">
      <selection activeCell="I19" sqref="I19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>
        <f>AVERAGE(A5:B5)</f>
        <v>2.5000000000000001E-2</v>
      </c>
      <c r="D5" s="6" t="s">
        <v>321</v>
      </c>
      <c r="E5" s="62">
        <v>1.7</v>
      </c>
      <c r="F5" s="6">
        <v>3.32</v>
      </c>
      <c r="G5" s="6">
        <v>19.2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2">
        <v>0.1</v>
      </c>
      <c r="C6" s="142">
        <f t="shared" ref="C6:C24" si="0">AVERAGE(A6:B6)</f>
        <v>7.5000000000000011E-2</v>
      </c>
      <c r="D6" s="6" t="s">
        <v>322</v>
      </c>
      <c r="E6" s="62">
        <v>0.9</v>
      </c>
      <c r="F6" s="6">
        <v>1.87</v>
      </c>
      <c r="G6" s="6">
        <v>19.2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>
        <f t="shared" si="0"/>
        <v>0.125</v>
      </c>
      <c r="D7" s="6" t="s">
        <v>323</v>
      </c>
      <c r="E7" s="62">
        <v>0.8</v>
      </c>
      <c r="F7" s="6">
        <v>1.6120000000000001</v>
      </c>
      <c r="G7" s="6">
        <v>19.5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2">
        <v>0.2</v>
      </c>
      <c r="C8" s="142">
        <f t="shared" si="0"/>
        <v>0.17499999999999999</v>
      </c>
      <c r="D8" s="6" t="s">
        <v>324</v>
      </c>
      <c r="E8" s="62">
        <v>0.8</v>
      </c>
      <c r="F8" s="6">
        <v>1.585</v>
      </c>
      <c r="G8" s="6">
        <v>19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0.25</v>
      </c>
      <c r="C9" s="142">
        <f t="shared" si="0"/>
        <v>0.22500000000000001</v>
      </c>
      <c r="D9" s="6" t="s">
        <v>325</v>
      </c>
      <c r="E9" s="62">
        <v>1.2</v>
      </c>
      <c r="F9" s="6">
        <v>2.33</v>
      </c>
      <c r="G9" s="6">
        <v>19.100000000000001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0.25</v>
      </c>
      <c r="B10" s="142">
        <v>0.3</v>
      </c>
      <c r="C10" s="142">
        <f t="shared" si="0"/>
        <v>0.27500000000000002</v>
      </c>
      <c r="D10" s="6" t="s">
        <v>326</v>
      </c>
      <c r="E10" s="62">
        <v>1</v>
      </c>
      <c r="F10" s="6">
        <v>2.0699999999999998</v>
      </c>
      <c r="G10" s="6">
        <v>19.3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>
        <v>0.3</v>
      </c>
      <c r="B11" s="141">
        <v>0.35</v>
      </c>
      <c r="C11" s="142">
        <f t="shared" si="0"/>
        <v>0.32499999999999996</v>
      </c>
      <c r="D11" s="6" t="s">
        <v>327</v>
      </c>
      <c r="E11" s="62">
        <v>1</v>
      </c>
      <c r="F11" s="6">
        <v>2.1</v>
      </c>
      <c r="G11" s="6">
        <v>19.100000000000001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>
        <v>0.35</v>
      </c>
      <c r="B12" s="142">
        <v>0.4</v>
      </c>
      <c r="C12" s="142">
        <f t="shared" si="0"/>
        <v>0.375</v>
      </c>
      <c r="D12" s="6" t="s">
        <v>328</v>
      </c>
      <c r="E12" s="62">
        <v>1.3</v>
      </c>
      <c r="F12" s="6">
        <v>2.63</v>
      </c>
      <c r="G12" s="6">
        <v>19.3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>
        <v>0.4</v>
      </c>
      <c r="B13" s="141">
        <v>0.45</v>
      </c>
      <c r="C13" s="142">
        <f t="shared" si="0"/>
        <v>0.42500000000000004</v>
      </c>
      <c r="D13" s="6" t="s">
        <v>329</v>
      </c>
      <c r="E13" s="62">
        <v>1.7</v>
      </c>
      <c r="F13" s="6">
        <v>3.23</v>
      </c>
      <c r="G13" s="6">
        <v>19.399999999999999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>
        <v>0.45</v>
      </c>
      <c r="B14" s="142">
        <v>0.5</v>
      </c>
      <c r="C14" s="142">
        <f t="shared" si="0"/>
        <v>0.47499999999999998</v>
      </c>
      <c r="D14" s="6" t="s">
        <v>330</v>
      </c>
      <c r="E14" s="62">
        <v>1.9</v>
      </c>
      <c r="F14" s="6">
        <v>3.69</v>
      </c>
      <c r="G14" s="6">
        <v>19.2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>
        <v>0.5</v>
      </c>
      <c r="B15" s="141">
        <v>0.55000000000000004</v>
      </c>
      <c r="C15" s="142">
        <f t="shared" si="0"/>
        <v>0.52500000000000002</v>
      </c>
      <c r="D15" s="6" t="s">
        <v>331</v>
      </c>
      <c r="E15" s="62">
        <v>2.1</v>
      </c>
      <c r="F15" s="6">
        <v>4.05</v>
      </c>
      <c r="G15" s="6">
        <v>19.399999999999999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>
        <v>0.55000000000000004</v>
      </c>
      <c r="B16" s="142">
        <v>0.6</v>
      </c>
      <c r="C16" s="142">
        <f t="shared" si="0"/>
        <v>0.57499999999999996</v>
      </c>
      <c r="D16" s="6" t="s">
        <v>332</v>
      </c>
      <c r="E16" s="62">
        <v>2.5</v>
      </c>
      <c r="F16" s="6">
        <v>4.6100000000000003</v>
      </c>
      <c r="G16" s="6">
        <v>19.2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>
        <v>0.6</v>
      </c>
      <c r="B17" s="141">
        <v>0.65</v>
      </c>
      <c r="C17" s="142">
        <f t="shared" si="0"/>
        <v>0.625</v>
      </c>
      <c r="D17" s="6" t="s">
        <v>333</v>
      </c>
      <c r="E17" s="62">
        <v>2.5</v>
      </c>
      <c r="F17" s="6">
        <v>4.6900000000000004</v>
      </c>
      <c r="G17" s="6">
        <v>19.3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>
        <v>0.65</v>
      </c>
      <c r="B18" s="142">
        <v>0.7</v>
      </c>
      <c r="C18" s="142">
        <f t="shared" si="0"/>
        <v>0.67500000000000004</v>
      </c>
      <c r="D18" s="6" t="s">
        <v>334</v>
      </c>
      <c r="E18" s="62">
        <v>2.5</v>
      </c>
      <c r="F18" s="6">
        <v>4.66</v>
      </c>
      <c r="G18" s="6">
        <v>19.5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>
        <v>0.7</v>
      </c>
      <c r="B19" s="141">
        <v>0.75</v>
      </c>
      <c r="C19" s="142">
        <f t="shared" si="0"/>
        <v>0.72499999999999998</v>
      </c>
      <c r="D19" s="6" t="s">
        <v>335</v>
      </c>
      <c r="E19" s="62">
        <v>2.5</v>
      </c>
      <c r="F19" s="6">
        <v>4.7</v>
      </c>
      <c r="G19" s="6">
        <v>19.600000000000001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>
        <v>0.75</v>
      </c>
      <c r="B20" s="142">
        <v>0.83</v>
      </c>
      <c r="C20" s="142">
        <f t="shared" si="0"/>
        <v>0.79</v>
      </c>
      <c r="D20" s="6" t="s">
        <v>336</v>
      </c>
      <c r="E20" s="62">
        <v>2.9</v>
      </c>
      <c r="F20" s="6">
        <v>5.35</v>
      </c>
      <c r="G20" s="6">
        <v>19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>
        <v>0.83</v>
      </c>
      <c r="B21" s="141">
        <v>0.88</v>
      </c>
      <c r="C21" s="142">
        <f t="shared" si="0"/>
        <v>0.85499999999999998</v>
      </c>
      <c r="D21" s="6" t="s">
        <v>337</v>
      </c>
      <c r="E21" s="62">
        <v>2.7</v>
      </c>
      <c r="F21" s="6">
        <v>5.0199999999999996</v>
      </c>
      <c r="G21" s="6">
        <v>19.600000000000001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>
        <v>0.88</v>
      </c>
      <c r="B22" s="142">
        <v>0.93</v>
      </c>
      <c r="C22" s="142">
        <f t="shared" si="0"/>
        <v>0.90500000000000003</v>
      </c>
      <c r="D22" s="6" t="s">
        <v>338</v>
      </c>
      <c r="E22" s="62">
        <v>2.4</v>
      </c>
      <c r="F22" s="6">
        <v>4.43</v>
      </c>
      <c r="G22" s="6">
        <v>19.600000000000001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1">
        <v>0.93</v>
      </c>
      <c r="B23" s="141">
        <v>0.98</v>
      </c>
      <c r="C23" s="142">
        <f t="shared" si="0"/>
        <v>0.95500000000000007</v>
      </c>
      <c r="D23" s="6" t="s">
        <v>339</v>
      </c>
      <c r="E23" s="62">
        <v>2</v>
      </c>
      <c r="F23" s="6">
        <v>3.88</v>
      </c>
      <c r="G23" s="6">
        <v>19.8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1">
        <v>0.98</v>
      </c>
      <c r="B24" s="142">
        <v>1.03</v>
      </c>
      <c r="C24" s="142">
        <f t="shared" si="0"/>
        <v>1.0049999999999999</v>
      </c>
      <c r="D24" s="6" t="s">
        <v>340</v>
      </c>
      <c r="E24" s="62">
        <v>1.3</v>
      </c>
      <c r="F24" s="6">
        <v>2.5099999999999998</v>
      </c>
      <c r="G24" s="6">
        <v>16.8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1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1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1"/>
      <c r="B27" s="141"/>
      <c r="C27" s="142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1"/>
      <c r="B28" s="142"/>
      <c r="C28" s="142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1"/>
      <c r="B29" s="141"/>
      <c r="C29" s="142"/>
      <c r="E29" s="62"/>
      <c r="I29" s="6" t="s">
        <v>308</v>
      </c>
      <c r="K29" s="6" t="s">
        <v>308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D47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A21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75">
      <c r="A4" s="70"/>
      <c r="B4" s="70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70"/>
      <c r="B5" s="70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70"/>
      <c r="B6" s="70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70"/>
      <c r="B7" s="70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70"/>
      <c r="B8" s="70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70"/>
      <c r="B9" s="70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70"/>
      <c r="B10" s="70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70"/>
      <c r="B11" s="70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70"/>
      <c r="B12" s="70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70"/>
      <c r="B13" s="70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70"/>
      <c r="B14" s="70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70"/>
      <c r="B15" s="70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70"/>
      <c r="B16" s="70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70"/>
      <c r="B17" s="70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70"/>
      <c r="B18" s="70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70"/>
      <c r="B19" s="70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70"/>
      <c r="B20" s="70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70"/>
      <c r="B21" s="70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70"/>
      <c r="B22" s="70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70"/>
      <c r="B23" s="70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70"/>
      <c r="B24" s="70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70"/>
      <c r="B25" s="70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70"/>
      <c r="B26" s="70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70"/>
      <c r="B27" s="70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70"/>
      <c r="B28" s="70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70"/>
      <c r="B29" s="70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70"/>
      <c r="B30" s="70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70"/>
      <c r="B31" s="70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70"/>
      <c r="B32" s="70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70"/>
      <c r="B33" s="70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70"/>
      <c r="B34" s="70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70"/>
      <c r="B35" s="70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70"/>
      <c r="B36" s="70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70"/>
      <c r="B37" s="70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70"/>
      <c r="B38" s="70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70"/>
      <c r="B39" s="70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D18" sqref="D18:E18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1.04</v>
      </c>
      <c r="D4" s="156"/>
      <c r="E4" s="156"/>
      <c r="F4" s="6" t="s">
        <v>304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</v>
      </c>
      <c r="B5" s="6">
        <v>0.13</v>
      </c>
      <c r="D5" s="156" t="s">
        <v>259</v>
      </c>
      <c r="E5" s="156"/>
      <c r="F5" s="6" t="s">
        <v>354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0.13</v>
      </c>
      <c r="B6" s="6">
        <v>0.23</v>
      </c>
      <c r="D6" s="156" t="s">
        <v>259</v>
      </c>
      <c r="E6" s="156"/>
      <c r="F6" s="6" t="s">
        <v>355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0.23</v>
      </c>
      <c r="B7" s="6">
        <v>0.8</v>
      </c>
      <c r="C7"/>
      <c r="D7" s="156"/>
      <c r="E7" s="156"/>
      <c r="F7" s="6" t="s">
        <v>356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zoomScale="85" zoomScaleNormal="85" workbookViewId="0">
      <selection activeCell="H31" sqref="H31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>
        <v>0</v>
      </c>
      <c r="B4" s="141">
        <v>0.05</v>
      </c>
      <c r="C4" s="142">
        <f>AVERAGE(A4:B4)</f>
        <v>2.5000000000000001E-2</v>
      </c>
      <c r="D4" s="6" t="s">
        <v>321</v>
      </c>
      <c r="E4" s="6">
        <v>152.30000000000001</v>
      </c>
      <c r="F4" s="6">
        <v>2.6</v>
      </c>
      <c r="G4" s="6">
        <f>0.833*E4/(E4-F4)</f>
        <v>0.84746760187040748</v>
      </c>
      <c r="H4" s="6" t="s">
        <v>343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>
        <v>0.05</v>
      </c>
      <c r="B5" s="142">
        <v>0.1</v>
      </c>
      <c r="C5" s="142">
        <f t="shared" ref="C5:C23" si="0">AVERAGE(A5:B5)</f>
        <v>7.5000000000000011E-2</v>
      </c>
      <c r="D5" s="6" t="s">
        <v>322</v>
      </c>
      <c r="E5" s="6">
        <v>243.1</v>
      </c>
      <c r="F5" s="6">
        <v>6.3</v>
      </c>
      <c r="G5" s="6">
        <f t="shared" ref="G5:G23" si="1">0.833*E5/(E5-F5)</f>
        <v>0.85516173986486488</v>
      </c>
      <c r="H5" s="6" t="s">
        <v>343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>
        <v>0.1</v>
      </c>
      <c r="B6" s="141">
        <v>0.15</v>
      </c>
      <c r="C6" s="142">
        <f t="shared" si="0"/>
        <v>0.125</v>
      </c>
      <c r="D6" s="6" t="s">
        <v>323</v>
      </c>
      <c r="E6" s="6">
        <v>228.7</v>
      </c>
      <c r="F6" s="6">
        <v>7.48</v>
      </c>
      <c r="G6" s="6">
        <f t="shared" si="1"/>
        <v>0.861165807793147</v>
      </c>
      <c r="H6" s="6" t="s">
        <v>344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>
        <v>0.15</v>
      </c>
      <c r="B7" s="142">
        <v>0.2</v>
      </c>
      <c r="C7" s="142">
        <f t="shared" si="0"/>
        <v>0.17499999999999999</v>
      </c>
      <c r="D7" s="6" t="s">
        <v>324</v>
      </c>
      <c r="E7" s="6">
        <v>254.5</v>
      </c>
      <c r="F7" s="6">
        <v>4.3</v>
      </c>
      <c r="G7" s="6">
        <f t="shared" si="1"/>
        <v>0.84731614708233405</v>
      </c>
      <c r="H7" s="6" t="s">
        <v>343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>
        <v>0.2</v>
      </c>
      <c r="B8" s="141">
        <v>0.25</v>
      </c>
      <c r="C8" s="142">
        <f t="shared" si="0"/>
        <v>0.22500000000000001</v>
      </c>
      <c r="D8" s="6" t="s">
        <v>325</v>
      </c>
      <c r="E8" s="6">
        <v>214.6</v>
      </c>
      <c r="F8" s="6">
        <v>2.34</v>
      </c>
      <c r="G8" s="6">
        <f t="shared" si="1"/>
        <v>0.84218317158202205</v>
      </c>
      <c r="H8" s="6" t="s">
        <v>345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>
        <v>0.25</v>
      </c>
      <c r="B9" s="142">
        <v>0.3</v>
      </c>
      <c r="C9" s="142">
        <f t="shared" si="0"/>
        <v>0.27500000000000002</v>
      </c>
      <c r="D9" s="6" t="s">
        <v>326</v>
      </c>
      <c r="E9" s="6">
        <v>272.5</v>
      </c>
      <c r="F9" s="6">
        <v>2.02</v>
      </c>
      <c r="G9" s="6">
        <f t="shared" si="1"/>
        <v>0.83922101449275344</v>
      </c>
      <c r="H9" s="6" t="s">
        <v>345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>
        <v>0.3</v>
      </c>
      <c r="B10" s="141">
        <v>0.35</v>
      </c>
      <c r="C10" s="142">
        <f t="shared" si="0"/>
        <v>0.32499999999999996</v>
      </c>
      <c r="D10" s="6" t="s">
        <v>327</v>
      </c>
      <c r="E10" s="6">
        <v>239.3</v>
      </c>
      <c r="F10" s="6">
        <v>8.6</v>
      </c>
      <c r="G10" s="6">
        <f t="shared" si="1"/>
        <v>0.86405244906805379</v>
      </c>
      <c r="H10" s="6" t="s">
        <v>346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>
        <v>0.35</v>
      </c>
      <c r="B11" s="142">
        <v>0.4</v>
      </c>
      <c r="C11" s="142">
        <f t="shared" si="0"/>
        <v>0.375</v>
      </c>
      <c r="D11" s="6" t="s">
        <v>328</v>
      </c>
      <c r="E11" s="6">
        <v>256.39999999999998</v>
      </c>
      <c r="F11" s="6">
        <v>6.1</v>
      </c>
      <c r="G11" s="6">
        <f t="shared" si="1"/>
        <v>0.85330083899320808</v>
      </c>
      <c r="H11" s="6" t="s">
        <v>347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>
        <v>0.4</v>
      </c>
      <c r="B12" s="141">
        <v>0.45</v>
      </c>
      <c r="C12" s="142">
        <f t="shared" si="0"/>
        <v>0.42500000000000004</v>
      </c>
      <c r="D12" s="6" t="s">
        <v>329</v>
      </c>
      <c r="E12" s="6">
        <v>230.6</v>
      </c>
      <c r="F12" s="6">
        <v>3.1</v>
      </c>
      <c r="G12" s="6">
        <f t="shared" si="1"/>
        <v>0.84435076923076924</v>
      </c>
      <c r="H12" s="6" t="s">
        <v>343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>
        <v>0.45</v>
      </c>
      <c r="B13" s="142">
        <v>0.5</v>
      </c>
      <c r="C13" s="142">
        <f t="shared" si="0"/>
        <v>0.47499999999999998</v>
      </c>
      <c r="D13" s="6" t="s">
        <v>330</v>
      </c>
      <c r="E13" s="6">
        <v>257.2</v>
      </c>
      <c r="F13" s="6">
        <v>15.1</v>
      </c>
      <c r="G13" s="6">
        <f t="shared" si="1"/>
        <v>0.88495497728211481</v>
      </c>
      <c r="H13" s="6" t="s">
        <v>348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>
        <v>0.5</v>
      </c>
      <c r="B14" s="141">
        <v>0.55000000000000004</v>
      </c>
      <c r="C14" s="142">
        <f t="shared" si="0"/>
        <v>0.52500000000000002</v>
      </c>
      <c r="D14" s="6" t="s">
        <v>331</v>
      </c>
      <c r="E14" s="6">
        <v>226.09</v>
      </c>
      <c r="F14" s="6">
        <v>10.85</v>
      </c>
      <c r="G14" s="6">
        <f t="shared" si="1"/>
        <v>0.87499056866753377</v>
      </c>
      <c r="H14" s="6" t="s">
        <v>348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>
        <v>0.55000000000000004</v>
      </c>
      <c r="B15" s="142">
        <v>0.6</v>
      </c>
      <c r="C15" s="142">
        <f t="shared" si="0"/>
        <v>0.57499999999999996</v>
      </c>
      <c r="D15" s="6" t="s">
        <v>332</v>
      </c>
      <c r="E15" s="6">
        <v>293.39999999999998</v>
      </c>
      <c r="F15" s="6">
        <v>17.600000000000001</v>
      </c>
      <c r="G15" s="6">
        <f t="shared" si="1"/>
        <v>0.88615736040609139</v>
      </c>
      <c r="H15" s="6" t="s">
        <v>349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>
        <v>0.6</v>
      </c>
      <c r="B16" s="141">
        <v>0.65</v>
      </c>
      <c r="C16" s="142">
        <f t="shared" si="0"/>
        <v>0.625</v>
      </c>
      <c r="D16" s="6" t="s">
        <v>333</v>
      </c>
      <c r="E16" s="6">
        <v>235.2</v>
      </c>
      <c r="F16" s="6">
        <v>5.16</v>
      </c>
      <c r="G16" s="6">
        <f t="shared" si="1"/>
        <v>0.85168492436098064</v>
      </c>
      <c r="H16" s="6" t="s">
        <v>350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>
        <v>0.65</v>
      </c>
      <c r="B17" s="142">
        <v>0.7</v>
      </c>
      <c r="C17" s="142">
        <f t="shared" si="0"/>
        <v>0.67500000000000004</v>
      </c>
      <c r="D17" s="6" t="s">
        <v>334</v>
      </c>
      <c r="E17" s="6">
        <v>279.5</v>
      </c>
      <c r="F17" s="6">
        <v>13.5</v>
      </c>
      <c r="G17" s="6">
        <f t="shared" si="1"/>
        <v>0.87527631578947362</v>
      </c>
      <c r="H17" s="6" t="s">
        <v>351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>
        <v>0.7</v>
      </c>
      <c r="B18" s="141">
        <v>0.75</v>
      </c>
      <c r="C18" s="142">
        <f t="shared" si="0"/>
        <v>0.72499999999999998</v>
      </c>
      <c r="D18" s="6" t="s">
        <v>335</v>
      </c>
      <c r="E18" s="6">
        <v>249.9</v>
      </c>
      <c r="F18" s="6">
        <v>11.6</v>
      </c>
      <c r="G18" s="6">
        <f t="shared" si="1"/>
        <v>0.87354888795635743</v>
      </c>
      <c r="H18" s="6" t="s">
        <v>351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>
        <v>0.75</v>
      </c>
      <c r="B19" s="142">
        <v>0.83</v>
      </c>
      <c r="C19" s="142">
        <f t="shared" si="0"/>
        <v>0.79</v>
      </c>
      <c r="D19" s="6" t="s">
        <v>336</v>
      </c>
      <c r="E19" s="6">
        <v>186.8</v>
      </c>
      <c r="F19" s="6">
        <v>11.1</v>
      </c>
      <c r="G19" s="6">
        <f>(0.833*E19/(E19-F19)+G26)/2</f>
        <v>0.89086577930701427</v>
      </c>
      <c r="H19" s="6" t="s">
        <v>352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>
        <v>0.83</v>
      </c>
      <c r="B20" s="141">
        <v>0.88</v>
      </c>
      <c r="C20" s="142">
        <f t="shared" si="0"/>
        <v>0.85499999999999998</v>
      </c>
      <c r="D20" s="6" t="s">
        <v>337</v>
      </c>
      <c r="E20" s="6">
        <v>281.8</v>
      </c>
      <c r="F20" s="6">
        <v>19.899999999999999</v>
      </c>
      <c r="G20" s="6">
        <f t="shared" si="1"/>
        <v>0.89629400534555159</v>
      </c>
      <c r="H20" s="6" t="s">
        <v>346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>
        <v>0.88</v>
      </c>
      <c r="B21" s="142">
        <v>0.93</v>
      </c>
      <c r="C21" s="142">
        <f t="shared" si="0"/>
        <v>0.90500000000000003</v>
      </c>
      <c r="D21" s="6" t="s">
        <v>338</v>
      </c>
      <c r="E21" s="6">
        <v>253.8</v>
      </c>
      <c r="F21" s="6">
        <v>19.600000000000001</v>
      </c>
      <c r="G21" s="6">
        <f t="shared" si="1"/>
        <v>0.90271306575576427</v>
      </c>
      <c r="H21" s="6" t="s">
        <v>346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>
        <v>0.93</v>
      </c>
      <c r="B22" s="141">
        <v>0.98</v>
      </c>
      <c r="C22" s="142">
        <f t="shared" si="0"/>
        <v>0.95500000000000007</v>
      </c>
      <c r="D22" s="6" t="s">
        <v>339</v>
      </c>
      <c r="E22" s="6">
        <v>268.10000000000002</v>
      </c>
      <c r="F22" s="6">
        <v>22.1</v>
      </c>
      <c r="G22" s="6">
        <f t="shared" si="1"/>
        <v>0.90783455284552839</v>
      </c>
      <c r="H22" s="6" t="s">
        <v>346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>
        <v>0.98</v>
      </c>
      <c r="B23" s="142">
        <v>1.03</v>
      </c>
      <c r="C23" s="142">
        <f t="shared" si="0"/>
        <v>1.0049999999999999</v>
      </c>
      <c r="D23" s="6" t="s">
        <v>340</v>
      </c>
      <c r="E23" s="6">
        <v>304.89999999999998</v>
      </c>
      <c r="F23" s="6">
        <v>27.2</v>
      </c>
      <c r="G23" s="6">
        <f t="shared" si="1"/>
        <v>0.91459020525747203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>
        <v>0.79</v>
      </c>
      <c r="D26" s="62" t="s">
        <v>336</v>
      </c>
      <c r="E26" s="6">
        <v>198.8</v>
      </c>
      <c r="F26" s="6">
        <v>14</v>
      </c>
      <c r="G26" s="6">
        <f t="shared" ref="G26" si="2">0.833*E26/(E26-F26)</f>
        <v>0.89610606060606057</v>
      </c>
      <c r="H26" s="6" t="s">
        <v>353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H29" s="9" t="s">
        <v>341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H30" s="9" t="s">
        <v>357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disablePrompts="1"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ignoredErrors>
    <ignoredError sqref="G19" formula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5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7"/>
    <col min="14" max="14" width="4.7109375" style="87" customWidth="1"/>
    <col min="15" max="16" width="13.28515625" style="87"/>
    <col min="17" max="17" width="4.7109375" style="87" customWidth="1"/>
    <col min="18" max="19" width="13.28515625" style="87"/>
    <col min="20" max="20" width="4.7109375" style="87" customWidth="1"/>
    <col min="21" max="23" width="13.28515625" style="87"/>
    <col min="24" max="24" width="4.7109375" style="87" customWidth="1"/>
    <col min="25" max="27" width="13.28515625" style="87"/>
    <col min="28" max="28" width="4.7109375" style="87" customWidth="1"/>
    <col min="29" max="30" width="13.28515625" style="87"/>
    <col min="31" max="31" width="4.7109375" style="87" customWidth="1"/>
    <col min="32" max="1023" width="13.28515625" style="87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75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75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75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75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75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75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40625" defaultRowHeight="12"/>
  <cols>
    <col min="1" max="6" width="13.140625" style="95"/>
    <col min="7" max="7" width="13.140625" style="96"/>
    <col min="8" max="14" width="13.140625" style="95"/>
    <col min="15" max="15" width="13.140625" style="96"/>
    <col min="16" max="18" width="13.140625" style="95"/>
    <col min="19" max="19" width="13.140625" style="97"/>
    <col min="20" max="1023" width="13.1406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65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9" t="s">
        <v>3</v>
      </c>
      <c r="B14" t="s">
        <v>271</v>
      </c>
      <c r="F14" t="s">
        <v>272</v>
      </c>
    </row>
    <row r="15" spans="1:13" ht="15">
      <c r="A15" s="139" t="s">
        <v>273</v>
      </c>
      <c r="B15" t="s">
        <v>274</v>
      </c>
      <c r="F15" t="s">
        <v>275</v>
      </c>
    </row>
    <row r="16" spans="1:13" ht="15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Evgenii Salganik</cp:lastModifiedBy>
  <cp:revision>284</cp:revision>
  <dcterms:created xsi:type="dcterms:W3CDTF">2014-01-23T22:52:05Z</dcterms:created>
  <dcterms:modified xsi:type="dcterms:W3CDTF">2026-02-17T16:32:42Z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