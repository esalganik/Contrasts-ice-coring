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1a\11jul2025coring\"/>
    </mc:Choice>
  </mc:AlternateContent>
  <xr:revisionPtr revIDLastSave="0" documentId="13_ncr:1_{8FF5CDD1-934D-42E6-845B-ED3976C79FF4}" xr6:coauthVersionLast="47" xr6:coauthVersionMax="47" xr10:uidLastSave="{00000000-0000-0000-0000-000000000000}"/>
  <bookViews>
    <workbookView xWindow="-108" yWindow="-108" windowWidth="23256" windowHeight="12456" tabRatio="726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<sst xmlns="http://schemas.openxmlformats.org/spreadsheetml/2006/main" count="651" uniqueCount="318">
  <si>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</si>
  <si>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</si>
  <si>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</si>
  <si>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</si>
  <si>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</si>
  <si>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</si>
  <si>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</si>
  <si>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</si>
  <si>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</si>
  <si>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</si>
  <si>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</si>
  <si>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</si>
  <si>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</si>
  <si>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</si>
  <si>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</si>
  <si>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</si>
  <si>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</si>
  <si>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</si>
  <si>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</si>
  <si>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</si>
  <si>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</si>
  <si>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</si>
  <si>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</si>
  <si>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</si>
  <si>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</si>
  <si>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</si>
  <si>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</si>
  <si>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</si>
  <si>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</si>
  <si>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</si>
  <si>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</si>
  <si>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</si>
  <si>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</si>
  <si>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</si>
  <si>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</si>
  <si>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</si>
  <si>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</si>
  <si>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</si>
  <si>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</si>
  <si>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</si>
  <si>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</si>
  <si>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</si>
  <si>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</si>
  <si>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</si>
  <si>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</si>
  <si>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</si>
  <si>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</si>
  <si>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</si>
  <si>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</si>
  <si>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</si>
  <si>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</si>
  <si>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</si>
  <si>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</si>
  <si>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</si>
  <si>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</si>
  <si>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</si>
  <si>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</si>
  <si>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</si>
  <si>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</si>
  <si>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</si>
  <si>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</si>
  <si>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</si>
  <si>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</si>
  <si>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</si>
  <si>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</si>
  <si>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</si>
  <si>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</si>
  <si>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</si>
  <si>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</si>
  <si>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</si>
  <si>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</si>
  <si>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</si>
  <si>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</si>
  <si>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</si>
  <si>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</si>
  <si>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</si>
  <si>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</si>
  <si>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</si>
  <si>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</si>
  <si>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</si>
  <si>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</si>
  <si>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</si>
  <si>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</si>
  <si>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</si>
  <si>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</si>
  <si>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</si>
  <si>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</si>
  <si>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</si>
  <si>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</si>
  <si>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</si>
  <si>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</si>
  <si>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</si>
  <si>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</si>
  <si>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</si>
  <si>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</si>
  <si>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</si>
  <si>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</si>
  <si>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</si>
  <si>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</si>
  <si>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</si>
  <si>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</si>
  <si>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</si>
  <si>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</si>
  <si>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</si>
  <si>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</si>
  <si>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</si>
  <si>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</si>
  <si>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</si>
  <si>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</si>
  <si>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</si>
  <si>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</si>
  <si>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</si>
  <si>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</si>
  <si>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</si>
  <si>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</si>
  <si>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</si>
  <si>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</si>
  <si>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</si>
  <si>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</si>
  <si>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</si>
  <si>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</si>
  <si>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</si>
  <si>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</si>
  <si>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</si>
  <si>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</si>
  <si>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</si>
  <si>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</si>
  <si>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</si>
  <si>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</si>
  <si>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</si>
  <si>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</si>
  <si>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</si>
  <si>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</si>
  <si>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</si>
  <si>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</si>
  <si>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</si>
  <si>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</si>
  <si>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</si>
  <si>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</si>
  <si>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</si>
  <si>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</si>
  <si>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</si>
  <si>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</si>
  <si>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</si>
  <si>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</si>
  <si>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</si>
  <si>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</si>
  <si>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</si>
  <si>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</si>
  <si>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</si>
  <si>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</si>
  <si>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</si>
  <si>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</si>
  <si>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</si>
  <si>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</si>
  <si>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</si>
  <si>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</si>
  <si>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</si>
  <si>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</si>
  <si>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</si>
  <si>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</si>
  <si>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</si>
  <si>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</si>
  <si>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</si>
  <si>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</si>
  <si>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</si>
  <si>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</si>
  <si>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</si>
  <si>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</si>
  <si>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</si>
  <si>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</si>
  <si>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</si>
  <si>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</si>
  <si>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</si>
  <si>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</si>
  <si>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</si>
  <si>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</si>
  <si>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</si>
  <si>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</si>
  <si>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</si>
  <si>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</si>
  <si>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</si>
  <si>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</si>
  <si>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</si>
  <si>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</si>
  <si>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</si>
  <si>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</si>
  <si>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</si>
  <si>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</si>
  <si>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</si>
  <si>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</si>
  <si>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</si>
  <si>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</si>
  <si>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</si>
  <si>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</si>
  <si>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</si>
  <si>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</si>
  <si>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</si>
  <si>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</si>
  <si>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</si>
  <si>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</si>
  <si>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</si>
  <si>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</si>
  <si>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</si>
  <si>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</si>
  <si>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</si>
  <si>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</si>
  <si>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</si>
  <si>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</si>
  <si>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</si>
  <si>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</si>
  <si>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</si>
  <si>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</si>
  <si>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</si>
  <si>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</si>
  <si>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</si>
  <si>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</si>
  <si>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</si>
  <si>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</si>
  <si>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</si>
  <si>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</si>
  <si>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</si>
  <si>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</si>
  <si>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</si>
  <si>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</si>
  <si>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</si>
  <si>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</si>
  <si>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</si>
  <si>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</si>
  <si>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</si>
  <si>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</si>
  <si>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</si>
  <si>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</si>
  <si>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</si>
  <si>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</si>
  <si>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</si>
  <si>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</si>
  <si>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</si>
  <si>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</si>
  <si>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</si>
  <si>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</si>
  <si>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</si>
  <si>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</si>
  <si>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</si>
  <si>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</si>
  <si>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</si>
  <si>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</si>
  <si>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</si>
  <si>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</si>
  <si>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</si>
  <si>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</si>
  <si>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</si>
  <si>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</si>
  <si>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</si>
  <si>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</si>
  <si>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</si>
  <si>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</si>
  <si>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</si>
  <si>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</si>
  <si>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</si>
  <si>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</si>
  <si>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</si>
  <si>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</si>
  <si>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</si>
  <si>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</si>
  <si>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</si>
  <si>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</si>
  <si>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</si>
  <si>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</si>
  <si>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</si>
  <si>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</si>
  <si>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</si>
  <si>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</si>
  <si>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</si>
  <si>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</si>
  <si>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</si>
  <si>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</si>
  <si>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</si>
  <si>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</si>
  <si>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</si>
  <si>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</si>
  <si>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</si>
  <si>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</si>
  <si>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</si>
  <si>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</si>
  <si>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</si>
  <si>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</si>
  <si>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</si>
  <si>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</si>
  <si>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</si>
  <si>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</si>
  <si>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</si>
  <si>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</si>
  <si>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</si>
  <si>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</si>
  <si>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</si>
  <si>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</si>
  <si>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CONTRATS-PS_149</t>
  </si>
  <si>
    <t>Dmitry Divine</t>
  </si>
  <si>
    <t>20250711-PS_149-FYI-</t>
  </si>
  <si>
    <t>PS149_13-1</t>
  </si>
  <si>
    <t>FYI ice Station 1a (event 13-1), coring on the thicker and more representative level ice some 10 m away of the refrozen lead coring site (from the coring on 10.07.2025)</t>
  </si>
  <si>
    <t>or scatter layer</t>
  </si>
  <si>
    <t>FYI next to refrozen lead</t>
  </si>
  <si>
    <t>core contains some scatter layer/refrozen snow layer on the top 3-4 cm</t>
  </si>
  <si>
    <t>gps mark 317 coring start</t>
  </si>
  <si>
    <t>9 cm kovacs</t>
  </si>
  <si>
    <t>sec1 ends</t>
  </si>
  <si>
    <t>section 1</t>
  </si>
  <si>
    <t>section 2</t>
  </si>
  <si>
    <t>this core was cut for salinity and d18O</t>
  </si>
  <si>
    <t>20250711-PS149_13-1-SI_corer_9cm-01-FYI-SALO18</t>
  </si>
  <si>
    <t>20250711-PS149_13-1-SI_corer_9cm-01-FYI-RHO</t>
  </si>
  <si>
    <t>The T-core was cut for salinity and d18O onboard. See spreadsheet for SALO18 core 20250711-PS149_13-1-SI_corer_9cm-01-FYI-SALO18</t>
  </si>
  <si>
    <t>Michi Haugeneder</t>
  </si>
  <si>
    <t>sec2 starts, T likely biased</t>
  </si>
  <si>
    <t>T-ptobe</t>
  </si>
  <si>
    <t>Testo (NPI)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</si>
</sst>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8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4"/>
  <sheetViews>
    <sheetView tabSelected="1" topLeftCell="A7" zoomScale="85" zoomScaleNormal="85" workbookViewId="0">
      <selection activeCell="B14" sqref="B14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7">
      <c r="A1" s="7" t="s">
        <v>0</v>
      </c>
      <c r="B1" s="8" t="s">
        <v>1</v>
      </c>
      <c r="C1" s="145" t="s">
        <v>299</v>
      </c>
      <c r="D1" s="145"/>
      <c r="E1" s="145"/>
      <c r="F1" s="9"/>
    </row>
    <row r="2" spans="1:7" ht="14.4">
      <c r="A2" s="7" t="s">
        <v>2</v>
      </c>
      <c r="B2" s="8"/>
      <c r="C2" s="10">
        <v>45849</v>
      </c>
      <c r="D2" s="11" t="s">
        <v>3</v>
      </c>
      <c r="E2" s="9"/>
      <c r="F2" s="9"/>
    </row>
    <row r="3" spans="1:7" ht="14.4">
      <c r="A3" s="7" t="s">
        <v>4</v>
      </c>
      <c r="B3" s="8"/>
      <c r="C3" s="12">
        <v>0.65902777777777777</v>
      </c>
      <c r="D3" s="11" t="s">
        <v>3</v>
      </c>
      <c r="E3" s="9"/>
      <c r="F3" s="9"/>
    </row>
    <row r="4" spans="1:7">
      <c r="A4" s="13" t="s">
        <v>5</v>
      </c>
      <c r="B4" s="14" t="s">
        <v>1</v>
      </c>
      <c r="C4" s="145" t="s">
        <v>313</v>
      </c>
      <c r="D4" s="145"/>
      <c r="E4" s="145"/>
      <c r="F4" s="9"/>
    </row>
    <row r="5" spans="1:7">
      <c r="A5" s="9"/>
      <c r="B5" s="9"/>
      <c r="C5" s="9"/>
      <c r="D5" s="9"/>
      <c r="E5" s="9"/>
      <c r="F5" s="9"/>
    </row>
    <row r="6" spans="1:7">
      <c r="A6" s="15" t="s">
        <v>6</v>
      </c>
      <c r="B6" s="9"/>
      <c r="C6" s="9"/>
      <c r="D6" s="9"/>
      <c r="E6" s="9"/>
      <c r="F6" s="9"/>
    </row>
    <row r="7" spans="1:7" ht="14.4">
      <c r="A7" s="7" t="s">
        <v>7</v>
      </c>
      <c r="B7" s="8" t="s">
        <v>8</v>
      </c>
      <c r="C7" s="16">
        <v>1.36</v>
      </c>
      <c r="D7" s="17" t="s">
        <v>9</v>
      </c>
      <c r="E7" s="9"/>
      <c r="F7" s="9"/>
    </row>
    <row r="8" spans="1:7" ht="14.4">
      <c r="A8" s="7" t="s">
        <v>10</v>
      </c>
      <c r="B8" s="8" t="s">
        <v>8</v>
      </c>
      <c r="C8" s="16">
        <v>1.21</v>
      </c>
      <c r="D8" s="17" t="s">
        <v>9</v>
      </c>
      <c r="E8" s="9"/>
      <c r="F8" s="9"/>
    </row>
    <row r="9" spans="1:7">
      <c r="A9" s="7" t="s">
        <v>11</v>
      </c>
      <c r="B9" s="8" t="s">
        <v>8</v>
      </c>
      <c r="C9" s="18"/>
      <c r="D9" s="9"/>
      <c r="E9" s="9"/>
      <c r="F9" s="9"/>
    </row>
    <row r="10" spans="1:7">
      <c r="A10" s="7" t="s">
        <v>12</v>
      </c>
      <c r="B10" s="8" t="s">
        <v>8</v>
      </c>
      <c r="C10" s="16">
        <v>1.4</v>
      </c>
      <c r="D10" s="9" t="s">
        <v>13</v>
      </c>
      <c r="E10" s="9"/>
      <c r="F10" s="9"/>
      <c r="G10" s="6" t="s">
        <v>304</v>
      </c>
    </row>
    <row r="11" spans="1:7">
      <c r="A11" s="9"/>
      <c r="B11" s="9"/>
      <c r="C11" s="9"/>
      <c r="D11" s="9"/>
      <c r="E11" s="9"/>
      <c r="F11" s="9"/>
    </row>
    <row r="12" spans="1:7">
      <c r="A12" s="19" t="s">
        <v>14</v>
      </c>
      <c r="B12" s="19"/>
      <c r="C12" s="19"/>
      <c r="D12" s="19"/>
      <c r="E12" s="19"/>
      <c r="F12" s="19"/>
    </row>
    <row r="13" spans="1:7">
      <c r="A13" s="19" t="s">
        <v>15</v>
      </c>
      <c r="B13" s="19" t="s">
        <v>306</v>
      </c>
      <c r="C13" s="145"/>
      <c r="D13" s="145"/>
      <c r="E13" s="145"/>
      <c r="F13" s="145"/>
    </row>
    <row r="14" spans="1:7">
      <c r="A14" s="6" t="s">
        <v>316</v>
      </c>
      <c r="B14" s="6" t="s">
        <v>317</v>
      </c>
      <c r="D14" s="5"/>
      <c r="E14" s="5"/>
      <c r="F14" s="5"/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opLeftCell="A9" zoomScale="85" zoomScaleNormal="85" workbookViewId="0">
      <selection activeCell="H37" sqref="H37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6" t="s">
        <v>19</v>
      </c>
      <c r="B2" s="146"/>
      <c r="C2" s="146"/>
      <c r="D2" s="146"/>
      <c r="E2" s="146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7" t="s">
        <v>297</v>
      </c>
      <c r="D3" s="147"/>
      <c r="E3" s="147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48" t="s">
        <v>303</v>
      </c>
      <c r="D4" s="148"/>
      <c r="E4" s="148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6" t="s">
        <v>22</v>
      </c>
      <c r="B5" s="146"/>
      <c r="C5" s="146"/>
      <c r="D5" s="146"/>
      <c r="E5" s="146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49" t="s">
        <v>23</v>
      </c>
      <c r="D6" s="149"/>
      <c r="E6" s="149"/>
      <c r="F6" s="146" t="s">
        <v>24</v>
      </c>
      <c r="G6" s="146"/>
      <c r="H6" s="146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83</v>
      </c>
      <c r="D8" s="30">
        <v>46.475999999999999</v>
      </c>
      <c r="E8" s="31"/>
      <c r="F8">
        <v>83</v>
      </c>
      <c r="G8" s="30">
        <v>46.495199999999997</v>
      </c>
      <c r="H8" s="32"/>
      <c r="I8" s="22" t="s">
        <v>305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22</v>
      </c>
      <c r="D9" s="34">
        <v>36.6387</v>
      </c>
      <c r="E9" s="35"/>
      <c r="F9">
        <v>22</v>
      </c>
      <c r="G9" s="34">
        <v>38.642400000000002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50" t="s">
        <v>32</v>
      </c>
      <c r="B10" s="150"/>
      <c r="C10" s="150"/>
      <c r="D10" s="150"/>
      <c r="E10" s="150"/>
      <c r="F10" s="146"/>
      <c r="G10" s="146"/>
      <c r="H10" s="146"/>
      <c r="I10" s="146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45849</v>
      </c>
      <c r="D12" s="38">
        <v>45849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0.65902777777777777</v>
      </c>
      <c r="D13" s="39">
        <v>0.6875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50" t="s">
        <v>39</v>
      </c>
      <c r="B15" s="150"/>
      <c r="C15" s="150"/>
      <c r="D15" s="150"/>
      <c r="E15" s="150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0.03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202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201</v>
      </c>
      <c r="D23" s="22" t="s">
        <v>302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6" t="s">
        <v>53</v>
      </c>
      <c r="B24" s="146"/>
      <c r="C24" s="146"/>
      <c r="D24" s="146"/>
      <c r="E24" s="146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0.8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0.5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-0.2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-1.4</v>
      </c>
      <c r="D28" s="49" t="s">
        <v>62</v>
      </c>
      <c r="E28" s="49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6" t="s">
        <v>63</v>
      </c>
      <c r="B29" s="146"/>
      <c r="C29" s="146"/>
      <c r="D29" s="146"/>
      <c r="E29" s="146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300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311</v>
      </c>
      <c r="D31" s="52" t="s">
        <v>312</v>
      </c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298</v>
      </c>
      <c r="D32" t="s">
        <v>314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51"/>
      <c r="D33" s="151"/>
      <c r="E33" s="151"/>
      <c r="F33" s="151"/>
      <c r="G33" s="15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6" t="s">
        <v>68</v>
      </c>
      <c r="B35" s="146"/>
      <c r="C35" s="146"/>
      <c r="D35" s="146"/>
      <c r="E35" s="146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9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52" t="s">
        <v>79</v>
      </c>
      <c r="B41" s="152"/>
      <c r="C41" s="15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53" t="s">
        <v>301</v>
      </c>
      <c r="B42" s="153"/>
      <c r="C42" s="153"/>
      <c r="D42" s="153"/>
      <c r="E42" s="153"/>
      <c r="F42" s="153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9:E29"/>
    <mergeCell ref="C33:G33"/>
    <mergeCell ref="A35:E35"/>
    <mergeCell ref="A41:C41"/>
    <mergeCell ref="A42:F42"/>
    <mergeCell ref="F6:H6"/>
    <mergeCell ref="A10:E10"/>
    <mergeCell ref="F10:I10"/>
    <mergeCell ref="A15:E15"/>
    <mergeCell ref="A24:E24"/>
    <mergeCell ref="A2:E2"/>
    <mergeCell ref="C3:E3"/>
    <mergeCell ref="C4:E4"/>
    <mergeCell ref="A5:E5"/>
    <mergeCell ref="C6:E6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zoomScale="85" zoomScaleNormal="85" workbookViewId="0">
      <selection activeCell="N5" sqref="N5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/>
      <c r="B5" s="141"/>
      <c r="C5" s="142"/>
      <c r="E5" s="62"/>
      <c r="N5" s="6" t="s">
        <v>310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/>
      <c r="B6" s="142"/>
      <c r="C6" s="142"/>
      <c r="E6" s="6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/>
      <c r="B7" s="141"/>
      <c r="C7" s="142"/>
      <c r="E7" s="6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/>
      <c r="B8" s="142"/>
      <c r="C8" s="142"/>
      <c r="E8" s="6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/>
      <c r="B9" s="141"/>
      <c r="C9" s="142"/>
      <c r="E9" s="6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/>
      <c r="B10" s="142"/>
      <c r="C10" s="142"/>
      <c r="E10" s="6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/>
      <c r="B11" s="141"/>
      <c r="C11" s="142"/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2"/>
      <c r="B12" s="142"/>
      <c r="C12" s="142"/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2"/>
      <c r="B13" s="142"/>
      <c r="C13" s="142"/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2"/>
      <c r="B14" s="142"/>
      <c r="C14" s="142"/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2"/>
      <c r="B15" s="142"/>
      <c r="C15" s="142"/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2"/>
      <c r="B16" s="142"/>
      <c r="C16" s="142"/>
      <c r="E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2"/>
      <c r="B17" s="142"/>
      <c r="C17" s="142"/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2"/>
      <c r="B18" s="142"/>
      <c r="C18" s="142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2"/>
      <c r="B19" s="142"/>
      <c r="C19" s="142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3"/>
      <c r="B20" s="142"/>
      <c r="C20" s="142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3"/>
      <c r="B21" s="142"/>
      <c r="C21" s="142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3"/>
      <c r="B22" s="142"/>
      <c r="C22" s="142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3"/>
      <c r="B23" s="142"/>
      <c r="C23" s="142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3"/>
      <c r="B24" s="142"/>
      <c r="C24" s="142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3"/>
      <c r="B25" s="141"/>
      <c r="C25" s="14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3"/>
      <c r="B26" s="142"/>
      <c r="C26" s="142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63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63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63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4"/>
      <c r="F46" s="154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1"/>
  <sheetViews>
    <sheetView topLeftCell="A12" zoomScale="85" zoomScaleNormal="85" workbookViewId="0">
      <selection activeCell="C15" sqref="C15:E15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5" t="s">
        <v>95</v>
      </c>
      <c r="D2" s="155"/>
      <c r="E2" s="155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6" t="s">
        <v>1</v>
      </c>
      <c r="D3" s="156"/>
      <c r="E3" s="156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6">
      <c r="A4" s="70">
        <v>2.5000000000000001E-2</v>
      </c>
      <c r="B4" s="70">
        <v>-0.1</v>
      </c>
      <c r="C4" s="157"/>
      <c r="D4" s="157"/>
      <c r="E4" s="157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70">
        <v>0.05</v>
      </c>
      <c r="B5" s="70">
        <v>-0.1</v>
      </c>
      <c r="C5" s="144"/>
      <c r="D5" s="144"/>
      <c r="E5" s="144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70">
        <v>0.1</v>
      </c>
      <c r="B6" s="70">
        <v>-0.2</v>
      </c>
      <c r="C6" s="157"/>
      <c r="D6" s="157"/>
      <c r="E6" s="157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70">
        <v>0.2</v>
      </c>
      <c r="B7" s="70">
        <v>-0.6</v>
      </c>
      <c r="C7" s="157"/>
      <c r="D7" s="157"/>
      <c r="E7" s="157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70">
        <v>0.3</v>
      </c>
      <c r="B8" s="70">
        <v>-0.8</v>
      </c>
      <c r="C8" s="157"/>
      <c r="D8" s="157"/>
      <c r="E8" s="157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70">
        <v>0.4</v>
      </c>
      <c r="B9" s="70">
        <v>-1</v>
      </c>
      <c r="C9" s="157"/>
      <c r="D9" s="157"/>
      <c r="E9" s="157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70">
        <v>0.5</v>
      </c>
      <c r="B10" s="70">
        <v>-1.3</v>
      </c>
      <c r="C10" s="157"/>
      <c r="D10" s="157"/>
      <c r="E10" s="157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70">
        <v>0.6</v>
      </c>
      <c r="B11" s="70">
        <v>-1.5</v>
      </c>
      <c r="C11" s="157"/>
      <c r="D11" s="157"/>
      <c r="E11" s="157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70">
        <v>0.7</v>
      </c>
      <c r="B12" s="70">
        <v>-1.6</v>
      </c>
      <c r="C12" s="157"/>
      <c r="D12" s="157"/>
      <c r="E12" s="157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70">
        <v>0.8</v>
      </c>
      <c r="B13" s="70">
        <v>-1.7</v>
      </c>
      <c r="C13" s="157"/>
      <c r="D13" s="157"/>
      <c r="E13" s="157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70">
        <v>0.9</v>
      </c>
      <c r="B14" s="70">
        <v>-1.6</v>
      </c>
      <c r="C14" s="157" t="s">
        <v>307</v>
      </c>
      <c r="D14" s="157"/>
      <c r="E14" s="157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70">
        <v>1</v>
      </c>
      <c r="B15" s="70">
        <v>-0.4</v>
      </c>
      <c r="C15" s="157" t="s">
        <v>315</v>
      </c>
      <c r="D15" s="157"/>
      <c r="E15" s="157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70">
        <v>1.1000000000000001</v>
      </c>
      <c r="B16" s="70">
        <v>-1.6</v>
      </c>
      <c r="C16" s="157"/>
      <c r="D16" s="157"/>
      <c r="E16" s="157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70">
        <v>1.2</v>
      </c>
      <c r="B17" s="70">
        <v>-1.8</v>
      </c>
      <c r="C17" s="157"/>
      <c r="D17" s="157"/>
      <c r="E17" s="157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70">
        <v>1.3</v>
      </c>
      <c r="B18" s="70">
        <v>-1.8</v>
      </c>
      <c r="C18" s="157"/>
      <c r="D18" s="157"/>
      <c r="E18" s="157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70">
        <v>1.35</v>
      </c>
      <c r="B19" s="70">
        <v>-1.7</v>
      </c>
      <c r="C19" s="157"/>
      <c r="D19" s="157"/>
      <c r="E19" s="157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70">
        <v>1.38</v>
      </c>
      <c r="B20" s="70">
        <v>-1.8</v>
      </c>
      <c r="C20" s="157"/>
      <c r="D20" s="157"/>
      <c r="E20" s="157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70"/>
      <c r="B21" s="70"/>
      <c r="C21" s="157"/>
      <c r="D21" s="157"/>
      <c r="E21" s="157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70"/>
      <c r="B22" s="70"/>
      <c r="C22" s="157"/>
      <c r="D22" s="157"/>
      <c r="E22" s="157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70"/>
      <c r="B23" s="70"/>
      <c r="C23" s="157"/>
      <c r="D23" s="157"/>
      <c r="E23" s="157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70"/>
      <c r="B24" s="70"/>
      <c r="C24" s="157"/>
      <c r="D24" s="157"/>
      <c r="E24" s="157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70"/>
      <c r="B25" s="70"/>
      <c r="C25" s="157"/>
      <c r="D25" s="157"/>
      <c r="E25" s="157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70"/>
      <c r="B26" s="70"/>
      <c r="C26" s="157"/>
      <c r="D26" s="157"/>
      <c r="E26" s="157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70"/>
      <c r="B27" s="70"/>
      <c r="C27" s="157"/>
      <c r="D27" s="157"/>
      <c r="E27" s="157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70"/>
      <c r="B28" s="70"/>
      <c r="C28" s="157"/>
      <c r="D28" s="157"/>
      <c r="E28" s="157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70"/>
      <c r="B29" s="70"/>
      <c r="C29" s="157"/>
      <c r="D29" s="157"/>
      <c r="E29" s="157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70"/>
      <c r="B30" s="70"/>
      <c r="C30" s="157"/>
      <c r="D30" s="157"/>
      <c r="E30" s="157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70"/>
      <c r="B31" s="70"/>
      <c r="C31" s="157"/>
      <c r="D31" s="157"/>
      <c r="E31" s="157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70"/>
      <c r="B32" s="70"/>
      <c r="C32" s="157"/>
      <c r="D32" s="157"/>
      <c r="E32" s="157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70"/>
      <c r="B33" s="70"/>
      <c r="C33" s="157"/>
      <c r="D33" s="157"/>
      <c r="E33" s="157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70"/>
      <c r="B34" s="70"/>
      <c r="C34" s="157"/>
      <c r="D34" s="157"/>
      <c r="E34" s="157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70"/>
      <c r="B35" s="70"/>
      <c r="C35" s="157"/>
      <c r="D35" s="157"/>
      <c r="E35" s="157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70"/>
      <c r="B36" s="70"/>
      <c r="C36" s="157"/>
      <c r="D36" s="157"/>
      <c r="E36" s="157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70"/>
      <c r="B37" s="70"/>
      <c r="C37" s="157"/>
      <c r="D37" s="157"/>
      <c r="E37" s="157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70"/>
      <c r="B38" s="70"/>
      <c r="C38" s="157"/>
      <c r="D38" s="157"/>
      <c r="E38" s="157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70"/>
      <c r="B39" s="70"/>
      <c r="C39" s="157"/>
      <c r="D39" s="157"/>
      <c r="E39" s="157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6">
      <c r="A40" s="70"/>
      <c r="B40" s="70"/>
      <c r="C40" s="157"/>
      <c r="D40" s="157"/>
      <c r="E40" s="157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</sheetData>
  <mergeCells count="38">
    <mergeCell ref="C38:E38"/>
    <mergeCell ref="C39:E39"/>
    <mergeCell ref="C40:E40"/>
    <mergeCell ref="C33:E33"/>
    <mergeCell ref="C34:E34"/>
    <mergeCell ref="C35:E35"/>
    <mergeCell ref="C36:E36"/>
    <mergeCell ref="C37:E37"/>
    <mergeCell ref="C28:E28"/>
    <mergeCell ref="C29:E29"/>
    <mergeCell ref="C30:E30"/>
    <mergeCell ref="C31:E31"/>
    <mergeCell ref="C32:E32"/>
    <mergeCell ref="C23:E23"/>
    <mergeCell ref="C24:E24"/>
    <mergeCell ref="C25:E25"/>
    <mergeCell ref="C26:E26"/>
    <mergeCell ref="C27:E27"/>
    <mergeCell ref="C18:E18"/>
    <mergeCell ref="C19:E19"/>
    <mergeCell ref="C20:E20"/>
    <mergeCell ref="C21:E21"/>
    <mergeCell ref="C22:E22"/>
    <mergeCell ref="C13:E13"/>
    <mergeCell ref="C14:E14"/>
    <mergeCell ref="C15:E15"/>
    <mergeCell ref="C16:E16"/>
    <mergeCell ref="C17:E17"/>
    <mergeCell ref="C8:E8"/>
    <mergeCell ref="C9:E9"/>
    <mergeCell ref="C10:E10"/>
    <mergeCell ref="C11:E11"/>
    <mergeCell ref="C12:E12"/>
    <mergeCell ref="C2:E2"/>
    <mergeCell ref="C3:E3"/>
    <mergeCell ref="C4:E4"/>
    <mergeCell ref="C6:E6"/>
    <mergeCell ref="C7:E7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F21" sqref="F21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8" t="s">
        <v>105</v>
      </c>
      <c r="E2" s="158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9" t="s">
        <v>106</v>
      </c>
      <c r="E3" s="159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0.97</v>
      </c>
      <c r="D4" s="160"/>
      <c r="E4" s="160"/>
      <c r="F4" s="6" t="s">
        <v>308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C5" s="6">
        <v>0.51</v>
      </c>
      <c r="D5" s="160" t="s">
        <v>181</v>
      </c>
      <c r="E5" s="160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0.97</v>
      </c>
      <c r="B6" s="6">
        <v>1.4</v>
      </c>
      <c r="D6" s="160"/>
      <c r="E6" s="160"/>
      <c r="F6" s="6" t="s">
        <v>309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>
        <v>1.07</v>
      </c>
      <c r="D7" s="160" t="s">
        <v>181</v>
      </c>
      <c r="E7" s="160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60"/>
      <c r="E8" s="160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60"/>
      <c r="E9" s="160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60"/>
      <c r="E10" s="160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60"/>
      <c r="E11" s="160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60"/>
      <c r="E12" s="160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60"/>
      <c r="E13" s="160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60"/>
      <c r="E14" s="16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60"/>
      <c r="E15" s="160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60"/>
      <c r="E16" s="160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60"/>
      <c r="E17" s="160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60"/>
      <c r="E18" s="160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60"/>
      <c r="E19" s="160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60"/>
      <c r="E20" s="160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60"/>
      <c r="E21" s="160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60"/>
      <c r="E22" s="160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60"/>
      <c r="E23" s="160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60"/>
      <c r="E24" s="160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60"/>
      <c r="E25" s="160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60"/>
      <c r="E26" s="160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60"/>
      <c r="E27" s="160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60"/>
      <c r="E28" s="160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60"/>
      <c r="E29" s="160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60"/>
      <c r="E30" s="160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60"/>
      <c r="E31" s="160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60"/>
      <c r="E32" s="160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60"/>
      <c r="E33" s="160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60"/>
      <c r="E34" s="160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60"/>
      <c r="E35" s="160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60"/>
      <c r="E36" s="160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60"/>
      <c r="E37" s="160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60"/>
      <c r="E38" s="160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60"/>
      <c r="E39" s="160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60"/>
      <c r="E40" s="160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60"/>
      <c r="E41" s="160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60"/>
      <c r="E42" s="160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60"/>
      <c r="E43" s="160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60"/>
      <c r="E44" s="160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60"/>
      <c r="E45" s="160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60"/>
      <c r="E46" s="160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4"/>
      <c r="E47" s="154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47:E47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D2:E2"/>
    <mergeCell ref="D3:E3"/>
    <mergeCell ref="D4:E4"/>
    <mergeCell ref="D5:E5"/>
    <mergeCell ref="D6:E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Q17" sqref="Q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/>
      <c r="B4" s="141"/>
      <c r="C4" s="142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/>
      <c r="B5" s="141"/>
      <c r="C5" s="142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/>
      <c r="B6" s="141"/>
      <c r="C6" s="142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/>
      <c r="B7" s="141"/>
      <c r="C7" s="142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/>
      <c r="B8" s="141"/>
      <c r="C8" s="142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/>
      <c r="B9" s="141"/>
      <c r="C9" s="142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/>
      <c r="B10" s="141"/>
      <c r="C10" s="142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/>
      <c r="B11" s="141"/>
      <c r="C11" s="142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/>
      <c r="B12" s="141"/>
      <c r="C12" s="142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/>
      <c r="B13" s="141"/>
      <c r="C13" s="142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/>
      <c r="B14" s="141"/>
      <c r="C14" s="142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/>
      <c r="B15" s="141"/>
      <c r="C15" s="142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/>
      <c r="B16" s="141"/>
      <c r="C16" s="142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/>
      <c r="B17" s="141"/>
      <c r="C17" s="142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/>
      <c r="B18" s="141"/>
      <c r="C18" s="142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/>
      <c r="B19" s="141"/>
      <c r="C19" s="142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/>
      <c r="B20" s="142"/>
      <c r="C20" s="142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/>
      <c r="B21" s="142"/>
      <c r="C21" s="142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1" t="s">
        <v>122</v>
      </c>
      <c r="G2" s="161"/>
      <c r="H2" s="161" t="s">
        <v>123</v>
      </c>
      <c r="I2" s="161"/>
      <c r="J2" s="162" t="s">
        <v>124</v>
      </c>
      <c r="K2" s="162"/>
      <c r="L2" s="161" t="s">
        <v>125</v>
      </c>
      <c r="M2" s="161"/>
      <c r="N2" s="162" t="s">
        <v>126</v>
      </c>
      <c r="O2" s="162"/>
      <c r="P2" s="164" t="s">
        <v>127</v>
      </c>
      <c r="Q2" s="164"/>
      <c r="R2" s="158" t="s">
        <v>128</v>
      </c>
      <c r="S2" s="158"/>
      <c r="T2" s="164" t="s">
        <v>129</v>
      </c>
      <c r="U2" s="164"/>
      <c r="V2" s="158" t="s">
        <v>130</v>
      </c>
      <c r="W2" s="158"/>
      <c r="X2" s="164" t="s">
        <v>131</v>
      </c>
      <c r="Y2" s="164"/>
      <c r="Z2" s="163" t="s">
        <v>132</v>
      </c>
      <c r="AA2" s="163"/>
      <c r="AB2" s="163" t="s">
        <v>133</v>
      </c>
      <c r="AC2" s="163"/>
      <c r="AD2" s="164" t="s">
        <v>134</v>
      </c>
      <c r="AE2" s="164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Z2:AA2"/>
    <mergeCell ref="AB2:AC2"/>
    <mergeCell ref="AD2:AE2"/>
    <mergeCell ref="P2:Q2"/>
    <mergeCell ref="R2:S2"/>
    <mergeCell ref="T2:U2"/>
    <mergeCell ref="V2:W2"/>
    <mergeCell ref="X2:Y2"/>
    <mergeCell ref="F2:G2"/>
    <mergeCell ref="H2:I2"/>
    <mergeCell ref="J2:K2"/>
    <mergeCell ref="L2:M2"/>
    <mergeCell ref="N2:O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5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7"/>
    <col min="14" max="14" width="4.75" style="87" customWidth="1"/>
    <col min="15" max="16" width="13.25" style="87"/>
    <col min="17" max="17" width="4.75" style="87" customWidth="1"/>
    <col min="18" max="19" width="13.25" style="87"/>
    <col min="20" max="20" width="4.75" style="87" customWidth="1"/>
    <col min="21" max="23" width="13.25" style="87"/>
    <col min="24" max="24" width="4.75" style="87" customWidth="1"/>
    <col min="25" max="27" width="13.25" style="87"/>
    <col min="28" max="28" width="4.75" style="87" customWidth="1"/>
    <col min="29" max="30" width="13.25" style="87"/>
    <col min="31" max="31" width="4.75" style="87" customWidth="1"/>
    <col min="32" max="1023" width="13.25" style="87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8" t="s">
        <v>92</v>
      </c>
      <c r="I1" s="158"/>
      <c r="J1" s="158" t="s">
        <v>93</v>
      </c>
      <c r="K1" s="158"/>
      <c r="L1" s="60"/>
      <c r="M1" s="58" t="s">
        <v>95</v>
      </c>
      <c r="N1" s="9"/>
      <c r="O1" s="19" t="s">
        <v>141</v>
      </c>
      <c r="P1" s="19"/>
      <c r="Q1" s="9"/>
      <c r="R1" s="161" t="s">
        <v>122</v>
      </c>
      <c r="S1" s="161"/>
      <c r="T1" s="9"/>
      <c r="U1" s="58" t="s">
        <v>85</v>
      </c>
      <c r="V1" s="58" t="s">
        <v>86</v>
      </c>
      <c r="W1" s="19"/>
      <c r="X1" s="9"/>
      <c r="Y1" s="165" t="s">
        <v>142</v>
      </c>
      <c r="Z1" s="165"/>
      <c r="AA1" s="165"/>
      <c r="AB1" s="9"/>
      <c r="AC1" s="166" t="s">
        <v>143</v>
      </c>
      <c r="AD1" s="166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12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6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6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6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6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6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6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L27" sqref="L27"/>
    </sheetView>
  </sheetViews>
  <sheetFormatPr defaultColWidth="13.125" defaultRowHeight="12"/>
  <cols>
    <col min="1" max="6" width="13.125" style="95"/>
    <col min="7" max="7" width="13.125" style="96"/>
    <col min="8" max="14" width="13.125" style="95"/>
    <col min="15" max="15" width="13.125" style="96"/>
    <col min="16" max="18" width="13.125" style="95"/>
    <col min="19" max="19" width="13.125" style="97"/>
    <col min="20" max="1023" width="13.1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7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7" t="s">
        <v>176</v>
      </c>
      <c r="J1" s="167"/>
      <c r="K1" s="167"/>
      <c r="L1" s="167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9" t="s">
        <v>3</v>
      </c>
      <c r="B14" t="s">
        <v>271</v>
      </c>
      <c r="F14" t="s">
        <v>272</v>
      </c>
    </row>
    <row r="15" spans="1:13" ht="14.4">
      <c r="A15" s="139" t="s">
        <v>273</v>
      </c>
      <c r="B15" t="s">
        <v>274</v>
      </c>
      <c r="F15" t="s">
        <v>275</v>
      </c>
    </row>
    <row r="16" spans="1:13" ht="14.4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2025-07-13T12:52:28Z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