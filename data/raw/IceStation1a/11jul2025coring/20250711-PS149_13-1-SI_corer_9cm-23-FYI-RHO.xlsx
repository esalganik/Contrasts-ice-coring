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vsalg001\Documents\MATLAB\Contrasts coring\Data\IceStation1a\11jul2025coring\"/>
    </mc:Choice>
  </mc:AlternateContent>
  <xr:revisionPtr revIDLastSave="0" documentId="13_ncr:1_{5F7585E8-BEF4-48C7-A4DF-5912FEA05F2F}" xr6:coauthVersionLast="47" xr6:coauthVersionMax="47" xr10:uidLastSave="{00000000-0000-0000-0000-000000000000}"/>
  <bookViews>
    <workbookView xWindow="-105" yWindow="0" windowWidth="19410" windowHeight="20985" tabRatio="726" activeTab="6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21" i="7" l="1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</calcChain>
</file>

<file path=xl/sharedStrings.xml><?xml version="1.0" encoding="utf-8"?>
<sst xmlns="http://schemas.openxmlformats.org/spreadsheetml/2006/main" count="697" uniqueCount="344">
  <si>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</si>
  <si>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</si>
  <si>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</si>
  <si>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</si>
  <si>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</si>
  <si>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</si>
  <si>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</si>
  <si>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</si>
  <si>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</si>
  <si>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</si>
  <si>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</si>
  <si>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</si>
  <si>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</si>
  <si>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</si>
  <si>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</si>
  <si>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</si>
  <si>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</si>
  <si>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</si>
  <si>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</si>
  <si>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</si>
  <si>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</si>
  <si>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</si>
  <si>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</si>
  <si>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</si>
  <si>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</si>
  <si>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</si>
  <si>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</si>
  <si>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</si>
  <si>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</si>
  <si>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</si>
  <si>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</si>
  <si>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</si>
  <si>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</si>
  <si>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</si>
  <si>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</si>
  <si>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</si>
  <si>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</si>
  <si>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</si>
  <si>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</si>
  <si>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</si>
  <si>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</si>
  <si>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</si>
  <si>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</si>
  <si>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</si>
  <si>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</si>
  <si>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</si>
  <si>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</si>
  <si>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</si>
  <si>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</si>
  <si>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</si>
  <si>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</si>
  <si>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</si>
  <si>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</si>
  <si>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</si>
  <si>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</si>
  <si>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</si>
  <si>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</si>
  <si>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</si>
  <si>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</si>
  <si>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</si>
  <si>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</si>
  <si>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</si>
  <si>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</si>
  <si>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</si>
  <si>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</si>
  <si>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</si>
  <si>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</si>
  <si>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</si>
  <si>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</si>
  <si>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</si>
  <si>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</si>
  <si>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</si>
  <si>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</si>
  <si>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</si>
  <si>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</si>
  <si>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</si>
  <si>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</si>
  <si>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</si>
  <si>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</si>
  <si>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</si>
  <si>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</si>
  <si>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</si>
  <si>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</si>
  <si>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</si>
  <si>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</si>
  <si>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</si>
  <si>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</si>
  <si>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</si>
  <si>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</si>
  <si>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</si>
  <si>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</si>
  <si>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</si>
  <si>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</si>
  <si>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</si>
  <si>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</si>
  <si>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</si>
  <si>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</si>
  <si>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</si>
  <si>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</si>
  <si>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</si>
  <si>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</si>
  <si>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</si>
  <si>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</si>
  <si>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</si>
  <si>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</si>
  <si>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</si>
  <si>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</si>
  <si>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</si>
  <si>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</si>
  <si>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</si>
  <si>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</si>
  <si>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</si>
  <si>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</si>
  <si>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</si>
  <si>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</si>
  <si>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</si>
  <si>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</si>
  <si>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</si>
  <si>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</si>
  <si>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</si>
  <si>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</si>
  <si>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</si>
  <si>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</si>
  <si>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</si>
  <si>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</si>
  <si>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</si>
  <si>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</si>
  <si>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</si>
  <si>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</si>
  <si>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</si>
  <si>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</si>
  <si>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</si>
  <si>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</si>
  <si>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</si>
  <si>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</si>
  <si>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</si>
  <si>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</si>
  <si>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</si>
  <si>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</si>
  <si>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</si>
  <si>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</si>
  <si>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</si>
  <si>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</si>
  <si>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</si>
  <si>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</si>
  <si>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</si>
  <si>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</si>
  <si>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</si>
  <si>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</si>
  <si>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</si>
  <si>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</si>
  <si>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</si>
  <si>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</si>
  <si>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</si>
  <si>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</si>
  <si>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</si>
  <si>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</si>
  <si>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</si>
  <si>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</si>
  <si>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</si>
  <si>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</si>
  <si>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</si>
  <si>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</si>
  <si>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</si>
  <si>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</si>
  <si>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</si>
  <si>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</si>
  <si>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</si>
  <si>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</si>
  <si>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</si>
  <si>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</si>
  <si>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</si>
  <si>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</si>
  <si>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</si>
  <si>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</si>
  <si>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</si>
  <si>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</si>
  <si>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</si>
  <si>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</si>
  <si>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</si>
  <si>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</si>
  <si>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</si>
  <si>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</si>
  <si>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</si>
  <si>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</si>
  <si>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</si>
  <si>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</si>
  <si>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</si>
  <si>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</si>
  <si>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</si>
  <si>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</si>
  <si>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</si>
  <si>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</si>
  <si>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</si>
  <si>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</si>
  <si>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</si>
  <si>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</si>
  <si>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</si>
  <si>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</si>
  <si>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</si>
  <si>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</si>
  <si>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</si>
  <si>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</si>
  <si>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</si>
  <si>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</si>
  <si>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</si>
  <si>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</si>
  <si>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</si>
  <si>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</si>
  <si>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</si>
  <si>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</si>
  <si>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</si>
  <si>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</si>
  <si>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</si>
  <si>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</si>
  <si>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</si>
  <si>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</si>
  <si>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</si>
  <si>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</si>
  <si>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</si>
  <si>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</si>
  <si>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</si>
  <si>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</si>
  <si>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</si>
  <si>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</si>
  <si>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</si>
  <si>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</si>
  <si>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</si>
  <si>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</si>
  <si>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</si>
  <si>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</si>
  <si>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</si>
  <si>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</si>
  <si>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</si>
  <si>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</si>
  <si>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</si>
  <si>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</si>
  <si>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</si>
  <si>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</si>
  <si>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</si>
  <si>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</si>
  <si>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</si>
  <si>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</si>
  <si>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</si>
  <si>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</si>
  <si>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</si>
  <si>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</si>
  <si>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</si>
  <si>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</si>
  <si>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</si>
  <si>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</si>
  <si>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</si>
  <si>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</si>
  <si>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</si>
  <si>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</si>
  <si>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</si>
  <si>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</si>
  <si>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</si>
  <si>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</si>
  <si>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</si>
  <si>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</si>
  <si>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</si>
  <si>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</si>
  <si>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</si>
  <si>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</si>
  <si>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</si>
  <si>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</si>
  <si>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</si>
  <si>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</si>
  <si>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</si>
  <si>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</si>
  <si>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</si>
  <si>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</si>
  <si>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</si>
  <si>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</si>
  <si>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</si>
  <si>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</si>
  <si>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</si>
  <si>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</si>
  <si>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</si>
  <si>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</si>
  <si>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</si>
  <si>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</si>
  <si>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</si>
  <si>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</si>
  <si>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</si>
  <si>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</si>
  <si>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</si>
  <si>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</si>
  <si>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</si>
  <si>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</si>
  <si>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</si>
  <si>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</si>
  <si>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</si>
  <si>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</si>
  <si>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</si>
  <si>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</si>
  <si>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</si>
  <si>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</si>
  <si>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20250711-PS_149-FYI-</t>
  </si>
  <si>
    <t>PS149_13-1</t>
  </si>
  <si>
    <t>FYI ice Station 1a (event 13-1), coring on the thicker and more representative level ice some 10 m away of the refrozen lead coring site (from the coring on 10.07.2025)</t>
  </si>
  <si>
    <t>or scatter layer</t>
  </si>
  <si>
    <t>FYI next to refrozen lead</t>
  </si>
  <si>
    <t>core contains some scatter layer/refrozen snow layer on the top 3-4 cm</t>
  </si>
  <si>
    <t>gps mark 317 coring start</t>
  </si>
  <si>
    <t>9 cm kovacs</t>
  </si>
  <si>
    <t>section 1</t>
  </si>
  <si>
    <t>20250711-PS149_13-1-SI_corer_9cm-01-FYI-SALO18</t>
  </si>
  <si>
    <t>20250711-PS149_13-1-SI_corer_9cm-01-FYI-RHO</t>
  </si>
  <si>
    <t>The core for density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</si>
  <si>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</si>
  <si>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</si>
  <si>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</si>
  <si>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</si>
  <si>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</si>
  <si>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</si>
  <si>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</si>
  <si>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</si>
  <si>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</si>
  <si>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</si>
  <si>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</si>
  <si>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</si>
  <si>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</si>
  <si>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</si>
  <si>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</si>
  <si>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</si>
  <si>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J17</t>
  </si>
  <si>
    <t>J18</t>
  </si>
  <si>
    <t>floats</t>
  </si>
  <si>
    <t>bubles out</t>
  </si>
  <si>
    <t>bubbles out</t>
  </si>
  <si>
    <t>melt channels</t>
  </si>
  <si>
    <t>melt channels, bubbles out</t>
  </si>
  <si>
    <t>melt channel</t>
  </si>
  <si>
    <t>melt channels, section 1 ends</t>
  </si>
  <si>
    <t>section 2 starts</t>
  </si>
  <si>
    <t>section 2, visible melt channel throughout almost entire section length</t>
  </si>
  <si>
    <t>scatter layer most likely</t>
  </si>
  <si>
    <t>Michi Haugeneder</t>
  </si>
  <si>
    <t>densinometry</t>
  </si>
  <si>
    <t xml:space="preserve">Shimadzu ux4200h balance + SMK-101 specofic gravity kit. Due to vessel vibrations accuracy of weighing is lower and should be within 0.5 g </t>
  </si>
  <si>
    <t>Tlab =-23</t>
  </si>
  <si>
    <t>rho_parafine=0.834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</si>
</sst>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9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1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  <xf numFmtId="0" fontId="1" fillId="0" borderId="0" xfId="0" applyFont="1" applyFill="1"/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SALO18!$C$5:$C$22</c:f>
              <c:numCache>
                <c:formatCode>0.00</c:formatCode>
                <c:ptCount val="18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0.25</c:v>
                </c:pt>
                <c:pt idx="5">
                  <c:v>0.35</c:v>
                </c:pt>
                <c:pt idx="6">
                  <c:v>0.45</c:v>
                </c:pt>
                <c:pt idx="7">
                  <c:v>0.55000000000000004</c:v>
                </c:pt>
                <c:pt idx="8">
                  <c:v>0.64999999999999991</c:v>
                </c:pt>
                <c:pt idx="9">
                  <c:v>0.75</c:v>
                </c:pt>
                <c:pt idx="10">
                  <c:v>0.85499999999999998</c:v>
                </c:pt>
                <c:pt idx="11">
                  <c:v>0.95500000000000007</c:v>
                </c:pt>
                <c:pt idx="12">
                  <c:v>1.05</c:v>
                </c:pt>
                <c:pt idx="13">
                  <c:v>1.1499999999999999</c:v>
                </c:pt>
                <c:pt idx="14">
                  <c:v>1.25</c:v>
                </c:pt>
                <c:pt idx="15">
                  <c:v>1.335</c:v>
                </c:pt>
                <c:pt idx="16">
                  <c:v>1.395</c:v>
                </c:pt>
                <c:pt idx="17">
                  <c:v>1.4449999999999998</c:v>
                </c:pt>
              </c:numCache>
            </c:numRef>
          </c:xVal>
          <c:yVal>
            <c:numRef>
              <c:f>SALO18!$E$5:$E$22</c:f>
              <c:numCache>
                <c:formatCode>General</c:formatCode>
                <c:ptCount val="18"/>
                <c:pt idx="0">
                  <c:v>1.3</c:v>
                </c:pt>
                <c:pt idx="1">
                  <c:v>0.3</c:v>
                </c:pt>
                <c:pt idx="2">
                  <c:v>0.6</c:v>
                </c:pt>
                <c:pt idx="3">
                  <c:v>1.2</c:v>
                </c:pt>
                <c:pt idx="4">
                  <c:v>2</c:v>
                </c:pt>
                <c:pt idx="5">
                  <c:v>2.8</c:v>
                </c:pt>
                <c:pt idx="6">
                  <c:v>3.5</c:v>
                </c:pt>
                <c:pt idx="7">
                  <c:v>3.7</c:v>
                </c:pt>
                <c:pt idx="8">
                  <c:v>4.4000000000000004</c:v>
                </c:pt>
                <c:pt idx="9">
                  <c:v>4.2</c:v>
                </c:pt>
                <c:pt idx="10">
                  <c:v>5.3</c:v>
                </c:pt>
                <c:pt idx="11">
                  <c:v>4</c:v>
                </c:pt>
                <c:pt idx="12">
                  <c:v>3.5</c:v>
                </c:pt>
                <c:pt idx="13">
                  <c:v>4</c:v>
                </c:pt>
                <c:pt idx="14">
                  <c:v>4.3</c:v>
                </c:pt>
                <c:pt idx="15">
                  <c:v>4.2</c:v>
                </c:pt>
                <c:pt idx="16">
                  <c:v>4.4000000000000004</c:v>
                </c:pt>
                <c:pt idx="17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B1-4C8B-98AC-C0B989CE7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327263"/>
        <c:axId val="666351647"/>
      </c:scatterChart>
      <c:valAx>
        <c:axId val="60332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351647"/>
        <c:crosses val="autoZero"/>
        <c:crossBetween val="midCat"/>
      </c:valAx>
      <c:valAx>
        <c:axId val="66635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2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density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'Density-densimetry'!$C$4:$C$21</c:f>
              <c:numCache>
                <c:formatCode>0.00</c:formatCode>
                <c:ptCount val="18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0.25</c:v>
                </c:pt>
                <c:pt idx="5">
                  <c:v>0.35</c:v>
                </c:pt>
                <c:pt idx="6">
                  <c:v>0.45</c:v>
                </c:pt>
                <c:pt idx="7">
                  <c:v>0.55000000000000004</c:v>
                </c:pt>
                <c:pt idx="8">
                  <c:v>0.64999999999999991</c:v>
                </c:pt>
                <c:pt idx="9">
                  <c:v>0.75</c:v>
                </c:pt>
                <c:pt idx="10">
                  <c:v>0.85499999999999998</c:v>
                </c:pt>
                <c:pt idx="11">
                  <c:v>0.95500000000000007</c:v>
                </c:pt>
                <c:pt idx="12">
                  <c:v>1.05</c:v>
                </c:pt>
                <c:pt idx="13">
                  <c:v>1.1499999999999999</c:v>
                </c:pt>
                <c:pt idx="14">
                  <c:v>1.25</c:v>
                </c:pt>
                <c:pt idx="15">
                  <c:v>1.335</c:v>
                </c:pt>
                <c:pt idx="16">
                  <c:v>1.395</c:v>
                </c:pt>
                <c:pt idx="17">
                  <c:v>1.4449999999999998</c:v>
                </c:pt>
              </c:numCache>
            </c:numRef>
          </c:xVal>
          <c:yVal>
            <c:numRef>
              <c:f>'Density-densimetry'!$G$4:$G$21</c:f>
              <c:numCache>
                <c:formatCode>0.00</c:formatCode>
                <c:ptCount val="18"/>
                <c:pt idx="0">
                  <c:v>0.83564605263157898</c:v>
                </c:pt>
                <c:pt idx="1">
                  <c:v>0.83400004032882213</c:v>
                </c:pt>
                <c:pt idx="2">
                  <c:v>0.84296774193548385</c:v>
                </c:pt>
                <c:pt idx="3">
                  <c:v>0.91215658362989316</c:v>
                </c:pt>
                <c:pt idx="4">
                  <c:v>0.88497269180754223</c:v>
                </c:pt>
                <c:pt idx="5">
                  <c:v>0.9117721261444558</c:v>
                </c:pt>
                <c:pt idx="6">
                  <c:v>0.89949202453987731</c:v>
                </c:pt>
                <c:pt idx="7">
                  <c:v>0.91596836082127231</c:v>
                </c:pt>
                <c:pt idx="8">
                  <c:v>0.91501196085538239</c:v>
                </c:pt>
                <c:pt idx="9">
                  <c:v>0.88787081339712914</c:v>
                </c:pt>
                <c:pt idx="10">
                  <c:v>0.89994703935270315</c:v>
                </c:pt>
                <c:pt idx="11">
                  <c:v>0.91263428571428573</c:v>
                </c:pt>
                <c:pt idx="12">
                  <c:v>0.90717367853290176</c:v>
                </c:pt>
                <c:pt idx="13">
                  <c:v>0.90630575777630695</c:v>
                </c:pt>
                <c:pt idx="14">
                  <c:v>0.89969371196754566</c:v>
                </c:pt>
                <c:pt idx="15">
                  <c:v>0.89615999999999996</c:v>
                </c:pt>
                <c:pt idx="16">
                  <c:v>0.91288708990200251</c:v>
                </c:pt>
                <c:pt idx="17">
                  <c:v>0.90723306865950493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79-4A53-9AA3-F86D4B1C6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488591"/>
        <c:axId val="586765343"/>
      </c:scatterChart>
      <c:valAx>
        <c:axId val="58348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65343"/>
        <c:crosses val="autoZero"/>
        <c:crossBetween val="midCat"/>
      </c:valAx>
      <c:valAx>
        <c:axId val="58676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88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255494</xdr:colOff>
      <xdr:row>6</xdr:row>
      <xdr:rowOff>134470</xdr:rowOff>
    </xdr:from>
    <xdr:to>
      <xdr:col>14</xdr:col>
      <xdr:colOff>129988</xdr:colOff>
      <xdr:row>22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43A7C-15A9-1319-48A4-3B7C37364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71717</xdr:colOff>
      <xdr:row>3</xdr:row>
      <xdr:rowOff>161364</xdr:rowOff>
    </xdr:from>
    <xdr:to>
      <xdr:col>20</xdr:col>
      <xdr:colOff>197223</xdr:colOff>
      <xdr:row>23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9D959-E371-9092-8AA4-2344C472E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D22" sqref="D21:D22"/>
    </sheetView>
  </sheetViews>
  <sheetFormatPr defaultColWidth="13.5703125" defaultRowHeight="14.25"/>
  <cols>
    <col min="1" max="2" width="13.5703125" style="6"/>
    <col min="3" max="3" width="14.5703125" style="6" bestFit="1" customWidth="1"/>
    <col min="4" max="1025" width="13.5703125" style="6"/>
  </cols>
  <sheetData>
    <row r="1" spans="1:7" ht="15">
      <c r="A1" s="7" t="s">
        <v>0</v>
      </c>
      <c r="B1" s="8" t="s">
        <v>1</v>
      </c>
      <c r="C1" s="145" t="s">
        <v>299</v>
      </c>
      <c r="D1" s="145"/>
      <c r="E1" s="145"/>
      <c r="F1" s="9"/>
    </row>
    <row r="2" spans="1:7" ht="15">
      <c r="A2" s="7" t="s">
        <v>2</v>
      </c>
      <c r="B2" s="8"/>
      <c r="C2" s="10">
        <v>45849</v>
      </c>
      <c r="D2" s="11" t="s">
        <v>3</v>
      </c>
      <c r="E2" s="9"/>
      <c r="F2" s="9"/>
    </row>
    <row r="3" spans="1:7" ht="15">
      <c r="A3" s="7" t="s">
        <v>4</v>
      </c>
      <c r="B3" s="8"/>
      <c r="C3" s="12">
        <v>0.65902777777777777</v>
      </c>
      <c r="D3" s="11" t="s">
        <v>3</v>
      </c>
      <c r="E3" s="9"/>
      <c r="F3" s="9"/>
    </row>
    <row r="4" spans="1:7" ht="15">
      <c r="A4" s="13" t="s">
        <v>5</v>
      </c>
      <c r="B4" s="14" t="s">
        <v>1</v>
      </c>
      <c r="C4" s="145" t="s">
        <v>310</v>
      </c>
      <c r="D4" s="145"/>
      <c r="E4" s="145"/>
      <c r="F4" s="9"/>
    </row>
    <row r="5" spans="1:7">
      <c r="A5" s="9"/>
      <c r="B5" s="9"/>
      <c r="C5" s="9"/>
      <c r="D5" s="9"/>
      <c r="E5" s="9"/>
      <c r="F5" s="9"/>
    </row>
    <row r="6" spans="1:7" ht="15">
      <c r="A6" s="15" t="s">
        <v>6</v>
      </c>
      <c r="B6" s="9"/>
      <c r="C6" s="9"/>
      <c r="D6" s="9"/>
      <c r="E6" s="9"/>
      <c r="F6" s="9"/>
    </row>
    <row r="7" spans="1:7" ht="15">
      <c r="A7" s="7" t="s">
        <v>7</v>
      </c>
      <c r="B7" s="8" t="s">
        <v>8</v>
      </c>
      <c r="C7" s="16">
        <v>1.43</v>
      </c>
      <c r="D7" s="17" t="s">
        <v>9</v>
      </c>
      <c r="E7" s="9"/>
      <c r="F7" s="9"/>
    </row>
    <row r="8" spans="1:7" ht="15">
      <c r="A8" s="7" t="s">
        <v>10</v>
      </c>
      <c r="B8" s="8" t="s">
        <v>8</v>
      </c>
      <c r="C8" s="16">
        <v>1.29</v>
      </c>
      <c r="D8" s="17" t="s">
        <v>9</v>
      </c>
      <c r="E8" s="9"/>
      <c r="F8" s="9"/>
    </row>
    <row r="9" spans="1:7" ht="15">
      <c r="A9" s="7" t="s">
        <v>11</v>
      </c>
      <c r="B9" s="8" t="s">
        <v>8</v>
      </c>
      <c r="C9" s="18"/>
      <c r="D9" s="9"/>
      <c r="E9" s="9"/>
      <c r="F9" s="9"/>
    </row>
    <row r="10" spans="1:7" ht="15">
      <c r="A10" s="7" t="s">
        <v>12</v>
      </c>
      <c r="B10" s="8" t="s">
        <v>8</v>
      </c>
      <c r="C10" s="16">
        <v>1.47</v>
      </c>
      <c r="D10" s="9" t="s">
        <v>13</v>
      </c>
      <c r="E10" s="9"/>
      <c r="F10" s="9"/>
      <c r="G10" s="6" t="s">
        <v>304</v>
      </c>
    </row>
    <row r="11" spans="1:7">
      <c r="A11" s="9"/>
      <c r="B11" s="9"/>
      <c r="C11" s="9"/>
      <c r="D11" s="9"/>
      <c r="E11" s="9"/>
      <c r="F11" s="9"/>
    </row>
    <row r="12" spans="1:7" ht="15">
      <c r="A12" s="19" t="s">
        <v>14</v>
      </c>
      <c r="B12" s="19"/>
      <c r="C12" s="19"/>
      <c r="D12" s="19"/>
      <c r="E12" s="19"/>
      <c r="F12" s="19"/>
    </row>
    <row r="13" spans="1:7" ht="15">
      <c r="A13" s="19" t="s">
        <v>15</v>
      </c>
      <c r="B13" s="19" t="s">
        <v>306</v>
      </c>
      <c r="C13" s="145"/>
      <c r="D13" s="145"/>
      <c r="E13" s="145"/>
      <c r="F13" s="145"/>
    </row>
    <row r="14" spans="1:7">
      <c r="A14" s="6" t="s">
        <v>340</v>
      </c>
      <c r="C14" s="6" t="s">
        <v>341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zoomScale="85" zoomScaleNormal="85" workbookViewId="0">
      <selection activeCell="G35" sqref="G35"/>
    </sheetView>
  </sheetViews>
  <sheetFormatPr defaultColWidth="8.85546875" defaultRowHeight="12"/>
  <cols>
    <col min="1" max="1" width="21.42578125" customWidth="1"/>
    <col min="2" max="2" width="12.140625" customWidth="1"/>
    <col min="3" max="5" width="12.5703125" customWidth="1"/>
    <col min="1024" max="1025" width="11.285156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6" t="s">
        <v>19</v>
      </c>
      <c r="B2" s="146"/>
      <c r="C2" s="146"/>
      <c r="D2" s="146"/>
      <c r="E2" s="146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7" t="s">
        <v>297</v>
      </c>
      <c r="D3" s="147"/>
      <c r="E3" s="147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48" t="s">
        <v>303</v>
      </c>
      <c r="D4" s="148"/>
      <c r="E4" s="148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" customHeight="1">
      <c r="A5" s="146" t="s">
        <v>22</v>
      </c>
      <c r="B5" s="146"/>
      <c r="C5" s="146"/>
      <c r="D5" s="146"/>
      <c r="E5" s="146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49" t="s">
        <v>23</v>
      </c>
      <c r="D6" s="149"/>
      <c r="E6" s="149"/>
      <c r="F6" s="146" t="s">
        <v>24</v>
      </c>
      <c r="G6" s="146"/>
      <c r="H6" s="146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46.475999999999999</v>
      </c>
      <c r="E8" s="31"/>
      <c r="F8">
        <v>83</v>
      </c>
      <c r="G8" s="30">
        <v>46.495199999999997</v>
      </c>
      <c r="H8" s="32"/>
      <c r="I8" s="22" t="s">
        <v>305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22</v>
      </c>
      <c r="D9" s="34">
        <v>36.6387</v>
      </c>
      <c r="E9" s="35"/>
      <c r="F9">
        <v>22</v>
      </c>
      <c r="G9" s="34">
        <v>38.642400000000002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5" customHeight="1">
      <c r="A10" s="150" t="s">
        <v>32</v>
      </c>
      <c r="B10" s="150"/>
      <c r="C10" s="150"/>
      <c r="D10" s="150"/>
      <c r="E10" s="150"/>
      <c r="F10" s="146"/>
      <c r="G10" s="146"/>
      <c r="H10" s="146"/>
      <c r="I10" s="146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45849</v>
      </c>
      <c r="D12" s="38">
        <v>45849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>
      <c r="A13" s="36" t="s">
        <v>35</v>
      </c>
      <c r="B13" s="37" t="s">
        <v>36</v>
      </c>
      <c r="C13" s="39">
        <v>0.65902777777777777</v>
      </c>
      <c r="D13" s="39">
        <v>0.6875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2" customHeight="1">
      <c r="A15" s="150" t="s">
        <v>39</v>
      </c>
      <c r="B15" s="150"/>
      <c r="C15" s="150"/>
      <c r="D15" s="150"/>
      <c r="E15" s="150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>
      <c r="A16" s="36" t="s">
        <v>40</v>
      </c>
      <c r="B16" s="43" t="s">
        <v>8</v>
      </c>
      <c r="C16">
        <v>0.03</v>
      </c>
      <c r="I16" s="22" t="s">
        <v>338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>
      <c r="A23" s="36" t="s">
        <v>51</v>
      </c>
      <c r="B23" s="43" t="s">
        <v>1</v>
      </c>
      <c r="C23" t="s">
        <v>201</v>
      </c>
      <c r="D23" s="22" t="s">
        <v>302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5" customHeight="1">
      <c r="A24" s="146" t="s">
        <v>53</v>
      </c>
      <c r="B24" s="146"/>
      <c r="C24" s="146"/>
      <c r="D24" s="146"/>
      <c r="E24" s="146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>
      <c r="A25" s="36" t="s">
        <v>54</v>
      </c>
      <c r="B25" s="43" t="s">
        <v>55</v>
      </c>
      <c r="C25">
        <v>0.8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>
      <c r="A26" s="45" t="s">
        <v>57</v>
      </c>
      <c r="B26" s="46" t="s">
        <v>55</v>
      </c>
      <c r="C26" s="48">
        <v>0.5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>
      <c r="A28" s="36" t="s">
        <v>61</v>
      </c>
      <c r="B28" s="43" t="s">
        <v>55</v>
      </c>
      <c r="C28">
        <v>-1.4</v>
      </c>
      <c r="D28" s="49" t="s">
        <v>62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2" customHeight="1">
      <c r="A29" s="146" t="s">
        <v>63</v>
      </c>
      <c r="B29" s="146"/>
      <c r="C29" s="146"/>
      <c r="D29" s="146"/>
      <c r="E29" s="146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>
      <c r="A30" s="45" t="s">
        <v>64</v>
      </c>
      <c r="B30" s="51"/>
      <c r="C30" s="48" t="s">
        <v>300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>
      <c r="A31" s="45" t="s">
        <v>65</v>
      </c>
      <c r="B31" s="51"/>
      <c r="C31" s="52" t="s">
        <v>308</v>
      </c>
      <c r="D31" s="52" t="s">
        <v>309</v>
      </c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>
      <c r="A32" s="45" t="s">
        <v>66</v>
      </c>
      <c r="B32" s="51"/>
      <c r="C32" s="48" t="s">
        <v>298</v>
      </c>
      <c r="D32" t="s">
        <v>339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>
      <c r="A33" s="36" t="s">
        <v>67</v>
      </c>
      <c r="B33" s="53"/>
      <c r="C33" s="151"/>
      <c r="D33" s="151"/>
      <c r="E33" s="151"/>
      <c r="F33" s="151"/>
      <c r="G33" s="15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6" t="s">
        <v>68</v>
      </c>
      <c r="B35" s="146"/>
      <c r="C35" s="146"/>
      <c r="D35" s="146"/>
      <c r="E35" s="146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>
      <c r="A36" s="36" t="s">
        <v>69</v>
      </c>
      <c r="B36" s="54"/>
      <c r="C36">
        <v>9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>
      <c r="A41" s="152" t="s">
        <v>79</v>
      </c>
      <c r="B41" s="152"/>
      <c r="C41" s="15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53" t="s">
        <v>301</v>
      </c>
      <c r="B42" s="153"/>
      <c r="C42" s="153"/>
      <c r="D42" s="153"/>
      <c r="E42" s="153"/>
      <c r="F42" s="153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9:E29"/>
    <mergeCell ref="C33:G33"/>
    <mergeCell ref="A35:E35"/>
    <mergeCell ref="A41:C41"/>
    <mergeCell ref="A42:F42"/>
    <mergeCell ref="F6:H6"/>
    <mergeCell ref="A10:E10"/>
    <mergeCell ref="F10:I10"/>
    <mergeCell ref="A15:E15"/>
    <mergeCell ref="A24:E24"/>
    <mergeCell ref="A2:E2"/>
    <mergeCell ref="C3:E3"/>
    <mergeCell ref="C4:E4"/>
    <mergeCell ref="A5:E5"/>
    <mergeCell ref="C6:E6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M26" sqref="M26"/>
    </sheetView>
  </sheetViews>
  <sheetFormatPr defaultColWidth="10.7109375" defaultRowHeight="14.25"/>
  <cols>
    <col min="1" max="8" width="13.7109375" style="6" customWidth="1"/>
    <col min="9" max="9" width="13.42578125" style="6" customWidth="1"/>
    <col min="10" max="13" width="10.7109375" style="6"/>
    <col min="14" max="14" width="20.7109375" style="6" customWidth="1"/>
    <col min="15" max="1025" width="10.7109375" style="6"/>
  </cols>
  <sheetData>
    <row r="1" spans="1:1024" ht="15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>
        <v>0</v>
      </c>
      <c r="B5" s="141">
        <v>0.05</v>
      </c>
      <c r="C5" s="142">
        <f>AVERAGE(A5:B5)</f>
        <v>2.5000000000000001E-2</v>
      </c>
      <c r="D5" s="62" t="s">
        <v>311</v>
      </c>
      <c r="E5" s="62">
        <v>1.3</v>
      </c>
      <c r="F5" s="6">
        <v>2.59</v>
      </c>
      <c r="G5" s="6">
        <v>17.7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>
        <v>0.05</v>
      </c>
      <c r="B6" s="141">
        <v>0.1</v>
      </c>
      <c r="C6" s="142">
        <f t="shared" ref="C6:C22" si="0">AVERAGE(A6:B6)</f>
        <v>7.5000000000000011E-2</v>
      </c>
      <c r="D6" s="62" t="s">
        <v>312</v>
      </c>
      <c r="E6" s="62">
        <v>0.3</v>
      </c>
      <c r="F6" s="6">
        <v>0.81399999999999995</v>
      </c>
      <c r="G6" s="6">
        <v>15.7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>
        <v>0.1</v>
      </c>
      <c r="B7" s="141">
        <v>0.15</v>
      </c>
      <c r="C7" s="142">
        <f t="shared" si="0"/>
        <v>0.125</v>
      </c>
      <c r="D7" s="62" t="s">
        <v>313</v>
      </c>
      <c r="E7" s="62">
        <v>0.6</v>
      </c>
      <c r="F7" s="6">
        <v>1.28</v>
      </c>
      <c r="G7" s="6">
        <v>17.399999999999999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>
        <v>0.15</v>
      </c>
      <c r="B8" s="141">
        <v>0.2</v>
      </c>
      <c r="C8" s="142">
        <f t="shared" si="0"/>
        <v>0.17499999999999999</v>
      </c>
      <c r="D8" s="62" t="s">
        <v>314</v>
      </c>
      <c r="E8" s="62">
        <v>1.2</v>
      </c>
      <c r="F8" s="6">
        <v>2.34</v>
      </c>
      <c r="G8" s="6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>
        <v>0.2</v>
      </c>
      <c r="B9" s="141">
        <v>0.3</v>
      </c>
      <c r="C9" s="142">
        <f t="shared" si="0"/>
        <v>0.25</v>
      </c>
      <c r="D9" s="62" t="s">
        <v>315</v>
      </c>
      <c r="E9" s="62">
        <v>2</v>
      </c>
      <c r="F9" s="6">
        <v>3.85</v>
      </c>
      <c r="G9" s="6">
        <v>15.4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>
        <v>0.3</v>
      </c>
      <c r="B10" s="141">
        <v>0.4</v>
      </c>
      <c r="C10" s="142">
        <f t="shared" si="0"/>
        <v>0.35</v>
      </c>
      <c r="D10" s="62" t="s">
        <v>316</v>
      </c>
      <c r="E10" s="62">
        <v>2.8</v>
      </c>
      <c r="F10" s="6">
        <v>5.18</v>
      </c>
      <c r="G10" s="6">
        <v>14.1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>
        <v>0.4</v>
      </c>
      <c r="B11" s="141">
        <v>0.5</v>
      </c>
      <c r="C11" s="142">
        <f t="shared" si="0"/>
        <v>0.45</v>
      </c>
      <c r="D11" s="62" t="s">
        <v>317</v>
      </c>
      <c r="E11" s="62">
        <v>3.5</v>
      </c>
      <c r="F11" s="6">
        <v>6.42</v>
      </c>
      <c r="G11" s="6">
        <v>13.8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1">
        <v>0.5</v>
      </c>
      <c r="B12" s="141">
        <v>0.6</v>
      </c>
      <c r="C12" s="142">
        <f t="shared" si="0"/>
        <v>0.55000000000000004</v>
      </c>
      <c r="D12" s="62" t="s">
        <v>318</v>
      </c>
      <c r="E12" s="62">
        <v>3.7</v>
      </c>
      <c r="F12" s="6">
        <v>6.8</v>
      </c>
      <c r="G12" s="6">
        <v>15.1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1">
        <v>0.6</v>
      </c>
      <c r="B13" s="141">
        <v>0.7</v>
      </c>
      <c r="C13" s="142">
        <f t="shared" si="0"/>
        <v>0.64999999999999991</v>
      </c>
      <c r="D13" s="62" t="s">
        <v>319</v>
      </c>
      <c r="E13" s="62">
        <v>4.4000000000000004</v>
      </c>
      <c r="F13" s="6">
        <v>7.99</v>
      </c>
      <c r="G13" s="6">
        <v>17.2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1">
        <v>0.7</v>
      </c>
      <c r="B14" s="141">
        <v>0.8</v>
      </c>
      <c r="C14" s="142">
        <f t="shared" si="0"/>
        <v>0.75</v>
      </c>
      <c r="D14" s="62" t="s">
        <v>320</v>
      </c>
      <c r="E14" s="62">
        <v>4.2</v>
      </c>
      <c r="F14" s="6">
        <v>7.59</v>
      </c>
      <c r="G14" s="6">
        <v>15.8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1">
        <v>0.8</v>
      </c>
      <c r="B15" s="141">
        <v>0.91</v>
      </c>
      <c r="C15" s="142">
        <f t="shared" si="0"/>
        <v>0.85499999999999998</v>
      </c>
      <c r="D15" s="62" t="s">
        <v>321</v>
      </c>
      <c r="E15" s="62">
        <v>5.3</v>
      </c>
      <c r="F15" s="6">
        <v>9.43</v>
      </c>
      <c r="G15" s="6">
        <v>16.8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1">
        <v>0.91</v>
      </c>
      <c r="B16" s="141">
        <v>1</v>
      </c>
      <c r="C16" s="142">
        <f t="shared" si="0"/>
        <v>0.95500000000000007</v>
      </c>
      <c r="D16" s="62" t="s">
        <v>322</v>
      </c>
      <c r="E16" s="62">
        <v>4</v>
      </c>
      <c r="F16" s="6">
        <v>7.24</v>
      </c>
      <c r="G16" s="6">
        <v>16.2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1">
        <v>1</v>
      </c>
      <c r="B17" s="141">
        <v>1.1000000000000001</v>
      </c>
      <c r="C17" s="142">
        <f t="shared" si="0"/>
        <v>1.05</v>
      </c>
      <c r="D17" s="62" t="s">
        <v>323</v>
      </c>
      <c r="E17" s="62">
        <v>3.5</v>
      </c>
      <c r="F17" s="6">
        <v>6.53</v>
      </c>
      <c r="G17" s="6">
        <v>15.5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1">
        <v>1.1000000000000001</v>
      </c>
      <c r="B18" s="141">
        <v>1.2</v>
      </c>
      <c r="C18" s="142">
        <f t="shared" si="0"/>
        <v>1.1499999999999999</v>
      </c>
      <c r="D18" s="62" t="s">
        <v>324</v>
      </c>
      <c r="E18" s="62">
        <v>4</v>
      </c>
      <c r="F18" s="6">
        <v>7.33</v>
      </c>
      <c r="G18" s="6">
        <v>16.600000000000001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1">
        <v>1.2</v>
      </c>
      <c r="B19" s="141">
        <v>1.3</v>
      </c>
      <c r="C19" s="142">
        <f t="shared" si="0"/>
        <v>1.25</v>
      </c>
      <c r="D19" s="62" t="s">
        <v>325</v>
      </c>
      <c r="E19" s="62">
        <v>4.3</v>
      </c>
      <c r="F19" s="6">
        <v>7.81</v>
      </c>
      <c r="G19" s="6">
        <v>14.5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1">
        <v>1.3</v>
      </c>
      <c r="B20" s="141">
        <v>1.37</v>
      </c>
      <c r="C20" s="142">
        <f t="shared" si="0"/>
        <v>1.335</v>
      </c>
      <c r="D20" s="62" t="s">
        <v>326</v>
      </c>
      <c r="E20" s="62">
        <v>4.2</v>
      </c>
      <c r="F20" s="6">
        <v>7.71</v>
      </c>
      <c r="G20" s="6">
        <v>15.7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1">
        <v>1.37</v>
      </c>
      <c r="B21" s="142">
        <v>1.42</v>
      </c>
      <c r="C21" s="142">
        <f t="shared" si="0"/>
        <v>1.395</v>
      </c>
      <c r="D21" s="62" t="s">
        <v>327</v>
      </c>
      <c r="E21" s="62">
        <v>4.4000000000000004</v>
      </c>
      <c r="F21" s="6">
        <v>7.95</v>
      </c>
      <c r="G21" s="6">
        <v>17.8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1">
        <v>1.42</v>
      </c>
      <c r="B22" s="142">
        <v>1.47</v>
      </c>
      <c r="C22" s="142">
        <f t="shared" si="0"/>
        <v>1.4449999999999998</v>
      </c>
      <c r="D22" s="62" t="s">
        <v>328</v>
      </c>
      <c r="E22" s="62">
        <v>4.8</v>
      </c>
      <c r="F22" s="6">
        <v>8.66</v>
      </c>
      <c r="G22" s="6">
        <v>17.399999999999999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4"/>
      <c r="F46" s="154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1"/>
  <sheetViews>
    <sheetView zoomScale="85" zoomScaleNormal="85" workbookViewId="0">
      <selection activeCell="G19" sqref="G19"/>
    </sheetView>
  </sheetViews>
  <sheetFormatPr defaultColWidth="8.85546875" defaultRowHeight="12"/>
  <cols>
    <col min="1" max="1" width="19.42578125" customWidth="1"/>
    <col min="2" max="5" width="13.7109375" customWidth="1"/>
  </cols>
  <sheetData>
    <row r="1" spans="1:26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5" t="s">
        <v>95</v>
      </c>
      <c r="D2" s="155"/>
      <c r="E2" s="15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6" t="s">
        <v>1</v>
      </c>
      <c r="D3" s="156"/>
      <c r="E3" s="15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75">
      <c r="A4" s="70"/>
      <c r="B4" s="70"/>
      <c r="C4" s="157"/>
      <c r="D4" s="157"/>
      <c r="E4" s="157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>
      <c r="A5" s="70"/>
      <c r="B5" s="70"/>
      <c r="C5" s="144"/>
      <c r="D5" s="144"/>
      <c r="E5" s="14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>
      <c r="A6" s="70"/>
      <c r="B6" s="70"/>
      <c r="C6" s="157"/>
      <c r="D6" s="157"/>
      <c r="E6" s="157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>
      <c r="A7" s="70"/>
      <c r="B7" s="70"/>
      <c r="C7" s="157"/>
      <c r="D7" s="157"/>
      <c r="E7" s="157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>
      <c r="A8" s="70"/>
      <c r="B8" s="70"/>
      <c r="C8" s="157"/>
      <c r="D8" s="157"/>
      <c r="E8" s="157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>
      <c r="A9" s="70"/>
      <c r="B9" s="70"/>
      <c r="C9" s="157"/>
      <c r="D9" s="157"/>
      <c r="E9" s="157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>
      <c r="A10" s="70"/>
      <c r="B10" s="70"/>
      <c r="C10" s="157"/>
      <c r="D10" s="157"/>
      <c r="E10" s="157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>
      <c r="A11" s="70"/>
      <c r="B11" s="70"/>
      <c r="C11" s="157"/>
      <c r="D11" s="157"/>
      <c r="E11" s="157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70"/>
      <c r="B12" s="70"/>
      <c r="C12" s="157"/>
      <c r="D12" s="157"/>
      <c r="E12" s="157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>
      <c r="A13" s="70"/>
      <c r="B13" s="70"/>
      <c r="C13" s="157"/>
      <c r="D13" s="157"/>
      <c r="E13" s="157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>
      <c r="A14" s="70"/>
      <c r="B14" s="70"/>
      <c r="C14" s="157"/>
      <c r="D14" s="157"/>
      <c r="E14" s="157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>
      <c r="A15" s="70"/>
      <c r="B15" s="70"/>
      <c r="C15" s="157"/>
      <c r="D15" s="157"/>
      <c r="E15" s="157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>
      <c r="A16" s="70"/>
      <c r="B16" s="70"/>
      <c r="C16" s="157"/>
      <c r="D16" s="157"/>
      <c r="E16" s="157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>
      <c r="A17" s="70"/>
      <c r="B17" s="70"/>
      <c r="C17" s="157"/>
      <c r="D17" s="157"/>
      <c r="E17" s="157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>
      <c r="A18" s="70"/>
      <c r="B18" s="70"/>
      <c r="C18" s="157"/>
      <c r="D18" s="157"/>
      <c r="E18" s="157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>
      <c r="A19" s="70"/>
      <c r="B19" s="70"/>
      <c r="C19" s="157"/>
      <c r="D19" s="157"/>
      <c r="E19" s="157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>
      <c r="A20" s="70"/>
      <c r="B20" s="70"/>
      <c r="C20" s="157"/>
      <c r="D20" s="157"/>
      <c r="E20" s="157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>
      <c r="A21" s="70"/>
      <c r="B21" s="70"/>
      <c r="C21" s="157"/>
      <c r="D21" s="157"/>
      <c r="E21" s="157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>
      <c r="A22" s="70"/>
      <c r="B22" s="70"/>
      <c r="C22" s="157"/>
      <c r="D22" s="157"/>
      <c r="E22" s="157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>
      <c r="A23" s="70"/>
      <c r="B23" s="70"/>
      <c r="C23" s="157"/>
      <c r="D23" s="157"/>
      <c r="E23" s="157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>
      <c r="A24" s="70"/>
      <c r="B24" s="70"/>
      <c r="C24" s="157"/>
      <c r="D24" s="157"/>
      <c r="E24" s="157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>
      <c r="A25" s="70"/>
      <c r="B25" s="70"/>
      <c r="C25" s="157"/>
      <c r="D25" s="157"/>
      <c r="E25" s="157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>
      <c r="A26" s="70"/>
      <c r="B26" s="70"/>
      <c r="C26" s="157"/>
      <c r="D26" s="157"/>
      <c r="E26" s="157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>
      <c r="A27" s="70"/>
      <c r="B27" s="70"/>
      <c r="C27" s="157"/>
      <c r="D27" s="157"/>
      <c r="E27" s="157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>
      <c r="A28" s="70"/>
      <c r="B28" s="70"/>
      <c r="C28" s="157"/>
      <c r="D28" s="157"/>
      <c r="E28" s="157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>
      <c r="A29" s="70"/>
      <c r="B29" s="70"/>
      <c r="C29" s="157"/>
      <c r="D29" s="157"/>
      <c r="E29" s="157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>
      <c r="A30" s="70"/>
      <c r="B30" s="70"/>
      <c r="C30" s="157"/>
      <c r="D30" s="157"/>
      <c r="E30" s="157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>
      <c r="A31" s="70"/>
      <c r="B31" s="70"/>
      <c r="C31" s="157"/>
      <c r="D31" s="157"/>
      <c r="E31" s="157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>
      <c r="A32" s="70"/>
      <c r="B32" s="70"/>
      <c r="C32" s="157"/>
      <c r="D32" s="157"/>
      <c r="E32" s="157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>
      <c r="A33" s="70"/>
      <c r="B33" s="70"/>
      <c r="C33" s="157"/>
      <c r="D33" s="157"/>
      <c r="E33" s="157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>
      <c r="A34" s="70"/>
      <c r="B34" s="70"/>
      <c r="C34" s="157"/>
      <c r="D34" s="157"/>
      <c r="E34" s="157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>
      <c r="A35" s="70"/>
      <c r="B35" s="70"/>
      <c r="C35" s="157"/>
      <c r="D35" s="157"/>
      <c r="E35" s="157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>
      <c r="A36" s="70"/>
      <c r="B36" s="70"/>
      <c r="C36" s="157"/>
      <c r="D36" s="157"/>
      <c r="E36" s="157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>
      <c r="A37" s="70"/>
      <c r="B37" s="70"/>
      <c r="C37" s="157"/>
      <c r="D37" s="157"/>
      <c r="E37" s="157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>
      <c r="A38" s="70"/>
      <c r="B38" s="70"/>
      <c r="C38" s="157"/>
      <c r="D38" s="157"/>
      <c r="E38" s="157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>
      <c r="A39" s="70"/>
      <c r="B39" s="70"/>
      <c r="C39" s="157"/>
      <c r="D39" s="157"/>
      <c r="E39" s="157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>
      <c r="A40" s="70"/>
      <c r="B40" s="70"/>
      <c r="C40" s="157"/>
      <c r="D40" s="157"/>
      <c r="E40" s="157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</sheetData>
  <mergeCells count="38">
    <mergeCell ref="C38:E38"/>
    <mergeCell ref="C39:E39"/>
    <mergeCell ref="C40:E40"/>
    <mergeCell ref="C33:E33"/>
    <mergeCell ref="C34:E34"/>
    <mergeCell ref="C35:E35"/>
    <mergeCell ref="C36:E36"/>
    <mergeCell ref="C37:E37"/>
    <mergeCell ref="C28:E28"/>
    <mergeCell ref="C29:E29"/>
    <mergeCell ref="C30:E30"/>
    <mergeCell ref="C31:E31"/>
    <mergeCell ref="C32:E32"/>
    <mergeCell ref="C23:E23"/>
    <mergeCell ref="C24:E24"/>
    <mergeCell ref="C25:E25"/>
    <mergeCell ref="C26:E26"/>
    <mergeCell ref="C27:E27"/>
    <mergeCell ref="C18:E18"/>
    <mergeCell ref="C19:E19"/>
    <mergeCell ref="C20:E20"/>
    <mergeCell ref="C21:E21"/>
    <mergeCell ref="C22:E22"/>
    <mergeCell ref="C13:E13"/>
    <mergeCell ref="C14:E14"/>
    <mergeCell ref="C15:E15"/>
    <mergeCell ref="C16:E16"/>
    <mergeCell ref="C17:E17"/>
    <mergeCell ref="C8:E8"/>
    <mergeCell ref="C9:E9"/>
    <mergeCell ref="C10:E10"/>
    <mergeCell ref="C11:E11"/>
    <mergeCell ref="C12:E12"/>
    <mergeCell ref="C2:E2"/>
    <mergeCell ref="C3:E3"/>
    <mergeCell ref="C4:E4"/>
    <mergeCell ref="C6:E6"/>
    <mergeCell ref="C7:E7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J10" sqref="J10"/>
    </sheetView>
  </sheetViews>
  <sheetFormatPr defaultColWidth="10.7109375" defaultRowHeight="14.25"/>
  <cols>
    <col min="1" max="5" width="13.7109375" style="6" customWidth="1"/>
    <col min="6" max="6" width="26.7109375" style="6" customWidth="1"/>
    <col min="7" max="1025" width="10.7109375" style="6"/>
  </cols>
  <sheetData>
    <row r="1" spans="1:26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8" t="s">
        <v>105</v>
      </c>
      <c r="E2" s="158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106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0.91</v>
      </c>
      <c r="D4" s="160"/>
      <c r="E4" s="160"/>
      <c r="F4" s="6" t="s">
        <v>307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0.91</v>
      </c>
      <c r="B5" s="6">
        <v>1.47</v>
      </c>
      <c r="D5" s="160"/>
      <c r="E5" s="160"/>
      <c r="F5" s="6" t="s">
        <v>337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</v>
      </c>
      <c r="B6" s="6">
        <v>0.1</v>
      </c>
      <c r="D6" s="160" t="s">
        <v>259</v>
      </c>
      <c r="E6" s="160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60"/>
      <c r="E7" s="160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60"/>
      <c r="E8" s="160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60"/>
      <c r="E9" s="16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60"/>
      <c r="E10" s="160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60"/>
      <c r="E11" s="160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60"/>
      <c r="E12" s="160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60"/>
      <c r="E13" s="16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60"/>
      <c r="E14" s="160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60"/>
      <c r="E15" s="160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60"/>
      <c r="E16" s="160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60"/>
      <c r="E17" s="160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60"/>
      <c r="E18" s="160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60"/>
      <c r="E19" s="160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60"/>
      <c r="E20" s="16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60"/>
      <c r="E21" s="160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60"/>
      <c r="E22" s="160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60"/>
      <c r="E23" s="16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60"/>
      <c r="E24" s="160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60"/>
      <c r="E25" s="160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60"/>
      <c r="E26" s="160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60"/>
      <c r="E27" s="160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60"/>
      <c r="E28" s="160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60"/>
      <c r="E29" s="160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60"/>
      <c r="E30" s="160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60"/>
      <c r="E31" s="160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60"/>
      <c r="E32" s="160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60"/>
      <c r="E33" s="160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60"/>
      <c r="E34" s="160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60"/>
      <c r="E35" s="16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60"/>
      <c r="E36" s="160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60"/>
      <c r="E37" s="160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60"/>
      <c r="E38" s="160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60"/>
      <c r="E39" s="16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60"/>
      <c r="E40" s="160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60"/>
      <c r="E41" s="160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60"/>
      <c r="E42" s="160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60"/>
      <c r="E43" s="160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60"/>
      <c r="E44" s="160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60"/>
      <c r="E45" s="160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60"/>
      <c r="E46" s="160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4"/>
      <c r="E47" s="154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47:E47"/>
    <mergeCell ref="D42:E42"/>
    <mergeCell ref="D43:E43"/>
    <mergeCell ref="D44:E44"/>
    <mergeCell ref="D45:E45"/>
    <mergeCell ref="D46:E46"/>
    <mergeCell ref="D37:E37"/>
    <mergeCell ref="D38:E38"/>
    <mergeCell ref="D39:E39"/>
    <mergeCell ref="D40:E40"/>
    <mergeCell ref="D41:E41"/>
    <mergeCell ref="D32:E32"/>
    <mergeCell ref="D33:E33"/>
    <mergeCell ref="D34:E34"/>
    <mergeCell ref="D35:E35"/>
    <mergeCell ref="D36:E36"/>
    <mergeCell ref="D27:E27"/>
    <mergeCell ref="D28:E28"/>
    <mergeCell ref="D29:E29"/>
    <mergeCell ref="D30:E30"/>
    <mergeCell ref="D31:E31"/>
    <mergeCell ref="D22:E22"/>
    <mergeCell ref="D23:E23"/>
    <mergeCell ref="D24:E24"/>
    <mergeCell ref="D25:E25"/>
    <mergeCell ref="D26:E26"/>
    <mergeCell ref="D17:E17"/>
    <mergeCell ref="D18:E18"/>
    <mergeCell ref="D19:E19"/>
    <mergeCell ref="D20:E20"/>
    <mergeCell ref="D21:E21"/>
    <mergeCell ref="D12:E12"/>
    <mergeCell ref="D13:E13"/>
    <mergeCell ref="D14:E14"/>
    <mergeCell ref="D15:E15"/>
    <mergeCell ref="D16:E16"/>
    <mergeCell ref="D7:E7"/>
    <mergeCell ref="D8:E8"/>
    <mergeCell ref="D9:E9"/>
    <mergeCell ref="D10:E10"/>
    <mergeCell ref="D11:E11"/>
    <mergeCell ref="D2:E2"/>
    <mergeCell ref="D3:E3"/>
    <mergeCell ref="D4:E4"/>
    <mergeCell ref="D5:E5"/>
    <mergeCell ref="D6:E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tabSelected="1" zoomScale="85" zoomScaleNormal="85" workbookViewId="0">
      <selection activeCell="E25" sqref="E25"/>
    </sheetView>
  </sheetViews>
  <sheetFormatPr defaultColWidth="9.140625" defaultRowHeight="14.25"/>
  <cols>
    <col min="1" max="1" width="13.85546875" style="6" customWidth="1"/>
    <col min="2" max="2" width="12.7109375" style="6" customWidth="1"/>
    <col min="3" max="3" width="12.42578125" style="6" customWidth="1"/>
    <col min="4" max="5" width="9.140625" style="6"/>
    <col min="6" max="10" width="10.85546875" style="6" customWidth="1"/>
    <col min="11" max="11" width="9.140625" style="6"/>
    <col min="12" max="12" width="13.42578125" style="6" customWidth="1"/>
    <col min="13" max="1025" width="9.140625" style="6"/>
  </cols>
  <sheetData>
    <row r="1" spans="1:1024" ht="15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5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>
        <v>0</v>
      </c>
      <c r="B4" s="141">
        <v>0.05</v>
      </c>
      <c r="C4" s="142">
        <f>AVERAGE(A4:B4)</f>
        <v>2.5000000000000001E-2</v>
      </c>
      <c r="D4" s="62" t="s">
        <v>311</v>
      </c>
      <c r="E4" s="6">
        <v>152.30000000000001</v>
      </c>
      <c r="F4" s="6">
        <v>0.3</v>
      </c>
      <c r="G4" s="142">
        <f>0.834*E4/(E4-F4)</f>
        <v>0.83564605263157898</v>
      </c>
      <c r="H4" s="6" t="s">
        <v>330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>
        <v>0.05</v>
      </c>
      <c r="B5" s="141">
        <v>0.1</v>
      </c>
      <c r="C5" s="142">
        <f t="shared" ref="C5:C21" si="0">AVERAGE(A5:B5)</f>
        <v>7.5000000000000011E-2</v>
      </c>
      <c r="D5" s="62" t="s">
        <v>312</v>
      </c>
      <c r="E5" s="6">
        <v>206.8</v>
      </c>
      <c r="F5" s="6">
        <v>1.0000000000000001E-5</v>
      </c>
      <c r="G5" s="142">
        <f t="shared" ref="G5:G21" si="1">0.834*E5/(E5-F5)</f>
        <v>0.83400004032882213</v>
      </c>
      <c r="H5" s="6" t="s">
        <v>329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>
        <v>0.1</v>
      </c>
      <c r="B6" s="141">
        <v>0.15</v>
      </c>
      <c r="C6" s="142">
        <f t="shared" si="0"/>
        <v>0.125</v>
      </c>
      <c r="D6" s="62" t="s">
        <v>313</v>
      </c>
      <c r="E6" s="6">
        <v>244.4</v>
      </c>
      <c r="F6" s="6">
        <v>2.6</v>
      </c>
      <c r="G6" s="142">
        <f t="shared" si="1"/>
        <v>0.84296774193548385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>
        <v>0.15</v>
      </c>
      <c r="B7" s="141">
        <v>0.2</v>
      </c>
      <c r="C7" s="142">
        <f t="shared" si="0"/>
        <v>0.17499999999999999</v>
      </c>
      <c r="D7" s="62" t="s">
        <v>314</v>
      </c>
      <c r="E7" s="6">
        <v>276.60000000000002</v>
      </c>
      <c r="F7" s="6">
        <v>23.7</v>
      </c>
      <c r="G7" s="142">
        <f t="shared" si="1"/>
        <v>0.91215658362989316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>
        <v>0.2</v>
      </c>
      <c r="B8" s="141">
        <v>0.3</v>
      </c>
      <c r="C8" s="142">
        <f t="shared" si="0"/>
        <v>0.25</v>
      </c>
      <c r="D8" s="62" t="s">
        <v>315</v>
      </c>
      <c r="E8" s="6">
        <v>326.39999999999998</v>
      </c>
      <c r="F8" s="6">
        <v>18.8</v>
      </c>
      <c r="G8" s="142">
        <f t="shared" si="1"/>
        <v>0.88497269180754223</v>
      </c>
      <c r="H8" s="6" t="s">
        <v>331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>
        <v>0.3</v>
      </c>
      <c r="B9" s="141">
        <v>0.4</v>
      </c>
      <c r="C9" s="142">
        <f t="shared" si="0"/>
        <v>0.35</v>
      </c>
      <c r="D9" s="62" t="s">
        <v>316</v>
      </c>
      <c r="E9" s="6">
        <v>322.39999999999998</v>
      </c>
      <c r="F9" s="6">
        <v>27.5</v>
      </c>
      <c r="G9" s="142">
        <f t="shared" si="1"/>
        <v>0.9117721261444558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>
        <v>0.4</v>
      </c>
      <c r="B10" s="141">
        <v>0.5</v>
      </c>
      <c r="C10" s="142">
        <f t="shared" si="0"/>
        <v>0.45</v>
      </c>
      <c r="D10" s="62" t="s">
        <v>317</v>
      </c>
      <c r="E10" s="6">
        <v>351.6</v>
      </c>
      <c r="F10" s="6">
        <v>25.6</v>
      </c>
      <c r="G10" s="142">
        <f t="shared" si="1"/>
        <v>0.89949202453987731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>
        <v>0.5</v>
      </c>
      <c r="B11" s="141">
        <v>0.6</v>
      </c>
      <c r="C11" s="142">
        <f t="shared" si="0"/>
        <v>0.55000000000000004</v>
      </c>
      <c r="D11" s="62" t="s">
        <v>318</v>
      </c>
      <c r="E11" s="6">
        <v>326.3</v>
      </c>
      <c r="F11" s="6">
        <v>29.2</v>
      </c>
      <c r="G11" s="142">
        <f t="shared" si="1"/>
        <v>0.91596836082127231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>
        <v>0.6</v>
      </c>
      <c r="B12" s="141">
        <v>0.7</v>
      </c>
      <c r="C12" s="142">
        <f t="shared" si="0"/>
        <v>0.64999999999999991</v>
      </c>
      <c r="D12" s="62" t="s">
        <v>319</v>
      </c>
      <c r="E12" s="6">
        <v>302.7</v>
      </c>
      <c r="F12" s="6">
        <v>26.8</v>
      </c>
      <c r="G12" s="142">
        <f t="shared" si="1"/>
        <v>0.91501196085538239</v>
      </c>
      <c r="H12" s="6" t="s">
        <v>332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>
        <v>0.7</v>
      </c>
      <c r="B13" s="141">
        <v>0.8</v>
      </c>
      <c r="C13" s="142">
        <f t="shared" si="0"/>
        <v>0.75</v>
      </c>
      <c r="D13" s="62" t="s">
        <v>320</v>
      </c>
      <c r="E13" s="6">
        <v>267</v>
      </c>
      <c r="F13" s="6">
        <v>16.2</v>
      </c>
      <c r="G13" s="142">
        <f t="shared" si="1"/>
        <v>0.88787081339712914</v>
      </c>
      <c r="H13" s="6" t="s">
        <v>332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>
        <v>0.8</v>
      </c>
      <c r="B14" s="141">
        <v>0.91</v>
      </c>
      <c r="C14" s="142">
        <f t="shared" si="0"/>
        <v>0.85499999999999998</v>
      </c>
      <c r="D14" s="62" t="s">
        <v>321</v>
      </c>
      <c r="E14" s="6">
        <v>293.39999999999998</v>
      </c>
      <c r="F14" s="6">
        <v>21.5</v>
      </c>
      <c r="G14" s="142">
        <f t="shared" si="1"/>
        <v>0.89994703935270315</v>
      </c>
      <c r="H14" s="6" t="s">
        <v>335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>
        <v>0.91</v>
      </c>
      <c r="B15" s="141">
        <v>1</v>
      </c>
      <c r="C15" s="142">
        <f t="shared" si="0"/>
        <v>0.95500000000000007</v>
      </c>
      <c r="D15" s="62" t="s">
        <v>322</v>
      </c>
      <c r="E15" s="6">
        <v>229.8</v>
      </c>
      <c r="F15" s="6">
        <v>19.8</v>
      </c>
      <c r="G15" s="142">
        <f t="shared" si="1"/>
        <v>0.91263428571428573</v>
      </c>
      <c r="H15" s="6" t="s">
        <v>336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>
        <v>1</v>
      </c>
      <c r="B16" s="141">
        <v>1.1000000000000001</v>
      </c>
      <c r="C16" s="142">
        <f t="shared" si="0"/>
        <v>1.05</v>
      </c>
      <c r="D16" s="62" t="s">
        <v>323</v>
      </c>
      <c r="E16" s="6">
        <v>302.5</v>
      </c>
      <c r="F16" s="6">
        <v>24.4</v>
      </c>
      <c r="G16" s="142">
        <f t="shared" si="1"/>
        <v>0.90717367853290176</v>
      </c>
      <c r="H16" s="6" t="s">
        <v>332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>
        <v>1.1000000000000001</v>
      </c>
      <c r="B17" s="141">
        <v>1.2</v>
      </c>
      <c r="C17" s="142">
        <f t="shared" si="0"/>
        <v>1.1499999999999999</v>
      </c>
      <c r="D17" s="62" t="s">
        <v>324</v>
      </c>
      <c r="E17" s="6">
        <v>328.4</v>
      </c>
      <c r="F17" s="6">
        <v>26.2</v>
      </c>
      <c r="G17" s="142">
        <f t="shared" si="1"/>
        <v>0.90630575777630695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>
        <v>1.2</v>
      </c>
      <c r="B18" s="141">
        <v>1.3</v>
      </c>
      <c r="C18" s="142">
        <f t="shared" si="0"/>
        <v>1.25</v>
      </c>
      <c r="D18" s="62" t="s">
        <v>325</v>
      </c>
      <c r="E18" s="6">
        <v>319.10000000000002</v>
      </c>
      <c r="F18" s="6">
        <v>23.3</v>
      </c>
      <c r="G18" s="142">
        <f t="shared" si="1"/>
        <v>0.89969371196754566</v>
      </c>
      <c r="H18" s="6" t="s">
        <v>333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>
        <v>1.3</v>
      </c>
      <c r="B19" s="141">
        <v>1.37</v>
      </c>
      <c r="C19" s="142">
        <f t="shared" si="0"/>
        <v>1.335</v>
      </c>
      <c r="D19" s="62" t="s">
        <v>326</v>
      </c>
      <c r="E19" s="6">
        <v>373.4</v>
      </c>
      <c r="F19" s="6">
        <v>25.9</v>
      </c>
      <c r="G19" s="142">
        <f t="shared" si="1"/>
        <v>0.89615999999999996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>
        <v>1.37</v>
      </c>
      <c r="B20" s="142">
        <v>1.42</v>
      </c>
      <c r="C20" s="142">
        <f t="shared" si="0"/>
        <v>1.395</v>
      </c>
      <c r="D20" s="62" t="s">
        <v>327</v>
      </c>
      <c r="E20" s="6">
        <v>256.89999999999998</v>
      </c>
      <c r="F20" s="6">
        <v>22.2</v>
      </c>
      <c r="G20" s="142">
        <f t="shared" si="1"/>
        <v>0.91288708990200251</v>
      </c>
      <c r="H20" s="6" t="s">
        <v>334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>
        <v>1.42</v>
      </c>
      <c r="B21" s="142">
        <v>1.47</v>
      </c>
      <c r="C21" s="142">
        <f t="shared" si="0"/>
        <v>1.4449999999999998</v>
      </c>
      <c r="D21" s="62" t="s">
        <v>328</v>
      </c>
      <c r="E21" s="6">
        <v>232.9</v>
      </c>
      <c r="F21" s="6">
        <v>18.8</v>
      </c>
      <c r="G21" s="142">
        <f t="shared" si="1"/>
        <v>0.90723306865950493</v>
      </c>
      <c r="H21" s="6" t="s">
        <v>334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H23" s="168" t="s">
        <v>342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H24" s="6" t="s">
        <v>343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disablePrompts="1"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5546875" defaultRowHeight="14.25"/>
  <cols>
    <col min="1" max="1" width="13.5703125" style="6" customWidth="1"/>
    <col min="2" max="2" width="11.85546875" style="6" customWidth="1"/>
    <col min="3" max="3" width="11.42578125" style="6" customWidth="1"/>
    <col min="4" max="5" width="8.85546875" style="6"/>
    <col min="6" max="32" width="10" style="6" customWidth="1"/>
    <col min="33" max="1025" width="8.85546875" style="6"/>
  </cols>
  <sheetData>
    <row r="1" spans="1:39" ht="15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4" t="s">
        <v>127</v>
      </c>
      <c r="Q2" s="164"/>
      <c r="R2" s="158" t="s">
        <v>128</v>
      </c>
      <c r="S2" s="158"/>
      <c r="T2" s="164" t="s">
        <v>129</v>
      </c>
      <c r="U2" s="164"/>
      <c r="V2" s="158" t="s">
        <v>130</v>
      </c>
      <c r="W2" s="158"/>
      <c r="X2" s="164" t="s">
        <v>131</v>
      </c>
      <c r="Y2" s="164"/>
      <c r="Z2" s="163" t="s">
        <v>132</v>
      </c>
      <c r="AA2" s="163"/>
      <c r="AB2" s="163" t="s">
        <v>133</v>
      </c>
      <c r="AC2" s="163"/>
      <c r="AD2" s="164" t="s">
        <v>134</v>
      </c>
      <c r="AE2" s="164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30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Z2:AA2"/>
    <mergeCell ref="AB2:AC2"/>
    <mergeCell ref="AD2:AE2"/>
    <mergeCell ref="P2:Q2"/>
    <mergeCell ref="R2:S2"/>
    <mergeCell ref="T2:U2"/>
    <mergeCell ref="V2:W2"/>
    <mergeCell ref="X2:Y2"/>
    <mergeCell ref="F2:G2"/>
    <mergeCell ref="H2:I2"/>
    <mergeCell ref="J2:K2"/>
    <mergeCell ref="L2:M2"/>
    <mergeCell ref="N2:O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40625" defaultRowHeight="14.25"/>
  <cols>
    <col min="1" max="2" width="12.28515625" style="85" customWidth="1"/>
    <col min="3" max="13" width="12.28515625" style="6" customWidth="1"/>
    <col min="14" max="1023" width="9.140625" style="6"/>
  </cols>
  <sheetData>
    <row r="1" spans="1:26" ht="15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5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8515625" defaultRowHeight="14.25"/>
  <cols>
    <col min="1" max="13" width="13.28515625" style="87"/>
    <col min="14" max="14" width="4.7109375" style="87" customWidth="1"/>
    <col min="15" max="16" width="13.28515625" style="87"/>
    <col min="17" max="17" width="4.7109375" style="87" customWidth="1"/>
    <col min="18" max="19" width="13.28515625" style="87"/>
    <col min="20" max="20" width="4.7109375" style="87" customWidth="1"/>
    <col min="21" max="23" width="13.28515625" style="87"/>
    <col min="24" max="24" width="4.7109375" style="87" customWidth="1"/>
    <col min="25" max="27" width="13.28515625" style="87"/>
    <col min="28" max="28" width="4.7109375" style="87" customWidth="1"/>
    <col min="29" max="30" width="13.28515625" style="87"/>
    <col min="31" max="31" width="4.7109375" style="87" customWidth="1"/>
    <col min="32" max="1023" width="13.28515625" style="87"/>
    <col min="1024" max="1025" width="13.285156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8" t="s">
        <v>92</v>
      </c>
      <c r="I1" s="158"/>
      <c r="J1" s="158" t="s">
        <v>93</v>
      </c>
      <c r="K1" s="158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5" t="s">
        <v>142</v>
      </c>
      <c r="Z1" s="165"/>
      <c r="AA1" s="165"/>
      <c r="AB1" s="9"/>
      <c r="AC1" s="166" t="s">
        <v>143</v>
      </c>
      <c r="AD1" s="166"/>
      <c r="AE1" s="9"/>
    </row>
    <row r="2" spans="1:31" ht="45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5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5546875" defaultRowHeight="12"/>
  <cols>
    <col min="1" max="1" width="15.42578125" customWidth="1"/>
    <col min="2" max="2" width="13.85546875" customWidth="1"/>
    <col min="3" max="3" width="15" customWidth="1"/>
    <col min="4" max="4" width="13.7109375" customWidth="1"/>
    <col min="5" max="5" width="14.85546875" customWidth="1"/>
    <col min="6" max="6" width="11" customWidth="1"/>
    <col min="7" max="7" width="10.5703125" customWidth="1"/>
    <col min="8" max="8" width="11.85546875" customWidth="1"/>
    <col min="1015" max="1025" width="9.140625" customWidth="1"/>
  </cols>
  <sheetData>
    <row r="1" spans="1:26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75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75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75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75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75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75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L27" sqref="L27"/>
    </sheetView>
  </sheetViews>
  <sheetFormatPr defaultColWidth="13.140625" defaultRowHeight="12"/>
  <cols>
    <col min="1" max="6" width="13.140625" style="95"/>
    <col min="7" max="7" width="13.140625" style="96"/>
    <col min="8" max="14" width="13.140625" style="95"/>
    <col min="15" max="15" width="13.140625" style="96"/>
    <col min="16" max="18" width="13.140625" style="95"/>
    <col min="19" max="19" width="13.140625" style="97"/>
    <col min="20" max="1023" width="13.1406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65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109375" defaultRowHeight="12"/>
  <cols>
    <col min="1" max="1" width="27" customWidth="1"/>
    <col min="2" max="2" width="50.28515625" customWidth="1"/>
    <col min="3" max="3" width="15.28515625" customWidth="1"/>
    <col min="4" max="4" width="30.28515625" customWidth="1"/>
    <col min="5" max="5" width="14.85546875" customWidth="1"/>
    <col min="6" max="6" width="26" customWidth="1"/>
    <col min="7" max="7" width="14.42578125" customWidth="1"/>
    <col min="8" max="8" width="12.42578125" customWidth="1"/>
    <col min="13" max="13" width="11.5703125" customWidth="1"/>
  </cols>
  <sheetData>
    <row r="1" spans="1:13" ht="15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7" t="s">
        <v>176</v>
      </c>
      <c r="J1" s="167"/>
      <c r="K1" s="167"/>
      <c r="L1" s="167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5">
      <c r="A14" s="139" t="s">
        <v>3</v>
      </c>
      <c r="B14" t="s">
        <v>271</v>
      </c>
      <c r="F14" t="s">
        <v>272</v>
      </c>
    </row>
    <row r="15" spans="1:13" ht="15">
      <c r="A15" s="139" t="s">
        <v>273</v>
      </c>
      <c r="B15" t="s">
        <v>274</v>
      </c>
      <c r="F15" t="s">
        <v>275</v>
      </c>
    </row>
    <row r="16" spans="1:13" ht="15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Evgenii Salganik</cp:lastModifiedBy>
  <cp:revision>284</cp:revision>
  <dcterms:created xsi:type="dcterms:W3CDTF">2014-01-23T22:52:05Z</dcterms:created>
  <dcterms:modified xsi:type="dcterms:W3CDTF">2026-02-17T16:29:43Z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