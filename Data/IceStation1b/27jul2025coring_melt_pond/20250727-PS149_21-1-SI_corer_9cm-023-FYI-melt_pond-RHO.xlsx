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1b\27jul2025coring_melt_pond\"/>
    </mc:Choice>
  </mc:AlternateContent>
  <xr:revisionPtr revIDLastSave="0" documentId="13_ncr:1_{C68B20DF-6993-493F-892E-8B088D7D1E34}" xr6:coauthVersionLast="47" xr6:coauthVersionMax="47" xr10:uidLastSave="{00000000-0000-0000-0000-000000000000}"/>
  <bookViews>
    <workbookView xWindow="1170" yWindow="0" windowWidth="19410" windowHeight="20880"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14" i="3" l="1"/>
  <c r="C13" i="3"/>
  <c r="C12" i="3"/>
  <c r="C11" i="3"/>
  <c r="C10" i="3"/>
  <c r="C9" i="3"/>
  <c r="C8" i="3"/>
  <c r="C7" i="3"/>
  <c r="C6" i="3"/>
  <c r="C5" i="3"/>
  <c r="G6" i="7"/>
  <c r="G5" i="7"/>
  <c r="G4" i="7"/>
  <c r="C13" i="7"/>
  <c r="C12" i="7"/>
  <c r="G13" i="7"/>
  <c r="G12" i="7"/>
  <c r="C11" i="7"/>
  <c r="C10" i="7"/>
  <c r="C9" i="7"/>
  <c r="C8" i="7"/>
  <c r="C7" i="7"/>
  <c r="C6" i="7"/>
  <c r="C5" i="7"/>
  <c r="C4" i="7"/>
  <c r="G11" i="7"/>
  <c r="G10" i="7"/>
  <c r="G9" i="7"/>
  <c r="G8" i="7"/>
  <c r="G7" i="7"/>
</calcChain>
</file>

<file path=xl/sharedStrings.xml><?xml version="1.0" encoding="utf-8"?>
<sst xmlns="http://schemas.openxmlformats.org/spreadsheetml/2006/main" count="658" uniqueCount="322">
  <si>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</si>
  <si>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</si>
  <si>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</si>
  <si>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</si>
  <si>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</si>
  <si>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</si>
  <si>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</si>
  <si>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</si>
  <si>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</si>
  <si>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</si>
  <si>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</si>
  <si>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</si>
  <si>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</si>
  <si>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</si>
  <si>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</si>
  <si>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</si>
  <si>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</si>
  <si>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</si>
  <si>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</si>
  <si>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</si>
  <si>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</si>
  <si>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</si>
  <si>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</si>
  <si>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</si>
  <si>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</si>
  <si>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</si>
  <si>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</si>
  <si>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</si>
  <si>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</si>
  <si>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</si>
  <si>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</si>
  <si>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</si>
  <si>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</si>
  <si>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</si>
  <si>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</si>
  <si>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</si>
  <si>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</si>
  <si>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</si>
  <si>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</si>
  <si>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</si>
  <si>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</si>
  <si>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</si>
  <si>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</si>
  <si>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</si>
  <si>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</si>
  <si>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</si>
  <si>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</si>
  <si>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</si>
  <si>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</si>
  <si>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</si>
  <si>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</si>
  <si>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</si>
  <si>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</si>
  <si>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</si>
  <si>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</si>
  <si>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</si>
  <si>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</si>
  <si>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</si>
  <si>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</si>
  <si>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</si>
  <si>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</si>
  <si>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</si>
  <si>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</si>
  <si>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</si>
  <si>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</si>
  <si>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</si>
  <si>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</si>
  <si>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</si>
  <si>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</si>
  <si>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</si>
  <si>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</si>
  <si>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</si>
  <si>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</si>
  <si>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</si>
  <si>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</si>
  <si>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</si>
  <si>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</si>
  <si>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</si>
  <si>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</si>
  <si>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</si>
  <si>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</si>
  <si>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</si>
  <si>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</si>
  <si>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</si>
  <si>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</si>
  <si>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</si>
  <si>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</si>
  <si>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</si>
  <si>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</si>
  <si>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</si>
  <si>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</si>
  <si>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</si>
  <si>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</si>
  <si>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</si>
  <si>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</si>
  <si>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</si>
  <si>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</si>
  <si>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</si>
  <si>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</si>
  <si>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</si>
  <si>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</si>
  <si>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</si>
  <si>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</si>
  <si>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</si>
  <si>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</si>
  <si>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</si>
  <si>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</si>
  <si>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</si>
  <si>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</si>
  <si>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</si>
  <si>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</si>
  <si>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</si>
  <si>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</si>
  <si>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</si>
  <si>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</si>
  <si>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</si>
  <si>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</si>
  <si>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</si>
  <si>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</si>
  <si>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</si>
  <si>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</si>
  <si>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</si>
  <si>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</si>
  <si>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</si>
  <si>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</si>
  <si>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</si>
  <si>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</si>
  <si>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</si>
  <si>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</si>
  <si>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</si>
  <si>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</si>
  <si>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</si>
  <si>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</si>
  <si>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</si>
  <si>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</si>
  <si>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</si>
  <si>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</si>
  <si>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</si>
  <si>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</si>
  <si>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</si>
  <si>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</si>
  <si>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</si>
  <si>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</si>
  <si>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</si>
  <si>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</si>
  <si>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</si>
  <si>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</si>
  <si>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</si>
  <si>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</si>
  <si>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</si>
  <si>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</si>
  <si>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</si>
  <si>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</si>
  <si>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</si>
  <si>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</si>
  <si>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</si>
  <si>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</si>
  <si>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</si>
  <si>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</si>
  <si>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</si>
  <si>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</si>
  <si>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</si>
  <si>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</si>
  <si>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</si>
  <si>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</si>
  <si>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</si>
  <si>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</si>
  <si>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</si>
  <si>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</si>
  <si>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</si>
  <si>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</si>
  <si>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</si>
  <si>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</si>
  <si>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</si>
  <si>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</si>
  <si>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</si>
  <si>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</si>
  <si>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</si>
  <si>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</si>
  <si>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</si>
  <si>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</si>
  <si>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</si>
  <si>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</si>
  <si>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</si>
  <si>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</si>
  <si>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</si>
  <si>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</si>
  <si>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</si>
  <si>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</si>
  <si>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</si>
  <si>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</si>
  <si>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</si>
  <si>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</si>
  <si>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</si>
  <si>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</si>
  <si>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</si>
  <si>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</si>
  <si>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</si>
  <si>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</si>
  <si>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</si>
  <si>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</si>
  <si>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</si>
  <si>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</si>
  <si>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</si>
  <si>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</si>
  <si>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</si>
  <si>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</si>
  <si>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</si>
  <si>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</si>
  <si>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</si>
  <si>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</si>
  <si>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</si>
  <si>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</si>
  <si>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</si>
  <si>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</si>
  <si>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</si>
  <si>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</si>
  <si>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</si>
  <si>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</si>
  <si>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</si>
  <si>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</si>
  <si>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</si>
  <si>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</si>
  <si>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</si>
  <si>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</si>
  <si>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</si>
  <si>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</si>
  <si>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</si>
  <si>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</si>
  <si>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</si>
  <si>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</si>
  <si>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</si>
  <si>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</si>
  <si>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</si>
  <si>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</si>
  <si>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</si>
  <si>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</si>
  <si>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</si>
  <si>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</si>
  <si>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</si>
  <si>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</si>
  <si>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</si>
  <si>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</si>
  <si>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</si>
  <si>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</si>
  <si>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</si>
  <si>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</si>
  <si>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</si>
  <si>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</si>
  <si>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</si>
  <si>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</si>
  <si>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</si>
  <si>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</si>
  <si>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</si>
  <si>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</si>
  <si>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</si>
  <si>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</si>
  <si>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</si>
  <si>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</si>
  <si>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</si>
  <si>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</si>
  <si>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</si>
  <si>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</si>
  <si>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</si>
  <si>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</si>
  <si>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</si>
  <si>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</si>
  <si>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</si>
  <si>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</si>
  <si>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</si>
  <si>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</si>
  <si>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</si>
  <si>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</si>
  <si>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</si>
  <si>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</si>
  <si>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</si>
  <si>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</si>
  <si>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</si>
  <si>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</si>
  <si>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</si>
  <si>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</si>
  <si>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</si>
  <si>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</si>
  <si>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</si>
  <si>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</si>
  <si>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</si>
  <si>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</si>
  <si>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</si>
  <si>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</si>
  <si>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</si>
  <si>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</si>
  <si>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</si>
  <si>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</si>
  <si>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</si>
  <si>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</si>
  <si>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</si>
  <si>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</si>
  <si>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</si>
  <si>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</si>
  <si>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</si>
  <si>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</si>
  <si>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PS149-1b</t>
  </si>
  <si>
    <t>end mark 332 (also lead site)</t>
  </si>
  <si>
    <t>start mark 332</t>
  </si>
  <si>
    <t>RHO parafine=0.834</t>
  </si>
  <si>
    <t>20250727-PS149_21-1-SI_corer_9cm-023-FYI-melt_pond-RHO</t>
  </si>
  <si>
    <t>FYI melt pond coring site</t>
  </si>
  <si>
    <t>The core for densimetry recovered from melt pond. Core was processed within some 2 hours from recovery, was not yet at the -20 ambient temperature of the freezer lab. Most of brine/sea water leacked from ice slab rigjht after recovery and during transportation/processing. Core photos were taken in the lab. The core is sliced for density and thick sections.</t>
  </si>
  <si>
    <t>false bottom</t>
  </si>
  <si>
    <t>platelet ice</t>
  </si>
  <si>
    <t>(platelet?) ice layer</t>
  </si>
  <si>
    <t>layer of ice with bubbles and large crystals; there is a graduation of less granular ice towards the bottom, but no clear transition.</t>
  </si>
  <si>
    <t>There was a pond with a depth of 0.25 m, and the pond surface had a freeboard of zero.</t>
  </si>
  <si>
    <t>Pond water depth</t>
  </si>
  <si>
    <t>Coring in melt pond where albedo, transmittance, and hyperspectral camera images were collected. This core was collected halfway between the eastern measurement site and the middle measurement site, in ice that appeared representative of the pond generally. This core (and others within this pond), encountered a void of approximately 20 cm between the bottom of the soft ice and a harder, clearer layer that appeared to be a false bottom. A considerable amount of liquid drained from the core barrel before the core was bagged and taken to the freezer.</t>
  </si>
  <si>
    <t>David Clemens-Sewall</t>
  </si>
  <si>
    <t>Slide 1, H thick section h=5.0 mm; ; H_thin_section=1.5 mm</t>
  </si>
  <si>
    <t>Slide 2, H thick section h=5.25 mm; H_thin_section=1.7 mm</t>
  </si>
  <si>
    <t>Slide 3, H hick section h=4.6 mm; H_thin_section=1.5 mm</t>
  </si>
  <si>
    <t>Slide 4, H thick section h=4.8 mm; H_thin_section=2.1 mm</t>
  </si>
  <si>
    <t>Slide 5, H thick section h=4.8 mm; H_thin_section=1.3 mm</t>
  </si>
  <si>
    <t>Tlab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</si>
</sst>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RHO core melt pond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SALO18!$C$5:$C$14</c:f>
              <c:numCache>
                <c:formatCode>0.00</c:formatCode>
                <c:ptCount val="10"/>
                <c:pt idx="0">
                  <c:v>2.5000000000000001E-2</c:v>
                </c:pt>
                <c:pt idx="1">
                  <c:v>7.5000000000000011E-2</c:v>
                </c:pt>
                <c:pt idx="2">
                  <c:v>0.125</c:v>
                </c:pt>
                <c:pt idx="3">
                  <c:v>0.17499999999999999</c:v>
                </c:pt>
                <c:pt idx="4">
                  <c:v>0.22500000000000001</c:v>
                </c:pt>
                <c:pt idx="5">
                  <c:v>0.27500000000000002</c:v>
                </c:pt>
                <c:pt idx="6">
                  <c:v>0.32499999999999996</c:v>
                </c:pt>
                <c:pt idx="7">
                  <c:v>0.375</c:v>
                </c:pt>
                <c:pt idx="8">
                  <c:v>0.41000000000000003</c:v>
                </c:pt>
                <c:pt idx="9">
                  <c:v>0.44999999999999996</c:v>
                </c:pt>
              </c:numCache>
            </c:numRef>
          </c:xVal>
          <c:yVal>
            <c:numRef>
              <c:f>SALO18!$E$5:$E$14</c:f>
              <c:numCache>
                <c:formatCode>General</c:formatCode>
                <c:ptCount val="10"/>
                <c:pt idx="0">
                  <c:v>0.3</c:v>
                </c:pt>
                <c:pt idx="1">
                  <c:v>0.3</c:v>
                </c:pt>
                <c:pt idx="2">
                  <c:v>0.3</c:v>
                </c:pt>
                <c:pt idx="3">
                  <c:v>0.3</c:v>
                </c:pt>
                <c:pt idx="4">
                  <c:v>0.2</c:v>
                </c:pt>
                <c:pt idx="5">
                  <c:v>0.2</c:v>
                </c:pt>
                <c:pt idx="6">
                  <c:v>0.1</c:v>
                </c:pt>
                <c:pt idx="7">
                  <c:v>0</c:v>
                </c:pt>
                <c:pt idx="8">
                  <c:v>0.1</c:v>
                </c:pt>
                <c:pt idx="9">
                  <c:v>0.2</c:v>
                </c:pt>
              </c:numCache>
            </c:numRef>
          </c:yVal>
          <c:smooth val="1"/>
          <c:extLst>
            <c:ext xmlns:c16="http://schemas.microsoft.com/office/drawing/2014/chart" uri="{C3380CC4-5D6E-409C-BE32-E72D297353CC}">
              <c16:uniqueId val="{00000000-2B2D-4CA2-90B3-824B34683387}"/>
            </c:ext>
          </c:extLst>
        </c:ser>
        <c:dLbls>
          <c:showLegendKey val="0"/>
          <c:showVal val="0"/>
          <c:showCatName val="0"/>
          <c:showSerName val="0"/>
          <c:showPercent val="0"/>
          <c:showBubbleSize val="0"/>
        </c:dLbls>
        <c:axId val="372265055"/>
        <c:axId val="372260735"/>
      </c:scatterChart>
      <c:valAx>
        <c:axId val="3722650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0735"/>
        <c:crosses val="autoZero"/>
        <c:crossBetween val="midCat"/>
      </c:valAx>
      <c:valAx>
        <c:axId val="37226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melt pond ice Station 1b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'Density-densimetry'!$C$4:$C$11</c:f>
              <c:numCache>
                <c:formatCode>0.00</c:formatCode>
                <c:ptCount val="8"/>
                <c:pt idx="0">
                  <c:v>2.5000000000000001E-2</c:v>
                </c:pt>
                <c:pt idx="1">
                  <c:v>7.5000000000000011E-2</c:v>
                </c:pt>
                <c:pt idx="2">
                  <c:v>0.125</c:v>
                </c:pt>
                <c:pt idx="3">
                  <c:v>0.17499999999999999</c:v>
                </c:pt>
                <c:pt idx="4">
                  <c:v>0.22500000000000001</c:v>
                </c:pt>
                <c:pt idx="5">
                  <c:v>0.27500000000000002</c:v>
                </c:pt>
                <c:pt idx="6">
                  <c:v>0.32499999999999996</c:v>
                </c:pt>
                <c:pt idx="7">
                  <c:v>0.375</c:v>
                </c:pt>
              </c:numCache>
            </c:numRef>
          </c:xVal>
          <c:yVal>
            <c:numRef>
              <c:f>'Density-densimetry'!$G$4:$G$11</c:f>
              <c:numCache>
                <c:formatCode>General</c:formatCode>
                <c:ptCount val="8"/>
                <c:pt idx="0">
                  <c:v>0.88770146341463407</c:v>
                </c:pt>
                <c:pt idx="1">
                  <c:v>0.89184067478912843</c:v>
                </c:pt>
                <c:pt idx="2">
                  <c:v>0.88628660006889415</c:v>
                </c:pt>
                <c:pt idx="3">
                  <c:v>0.87144243301955093</c:v>
                </c:pt>
                <c:pt idx="4">
                  <c:v>0.85703556992724328</c:v>
                </c:pt>
                <c:pt idx="5">
                  <c:v>0.85284626126697971</c:v>
                </c:pt>
                <c:pt idx="6">
                  <c:v>0.86686877436119525</c:v>
                </c:pt>
                <c:pt idx="7">
                  <c:v>0.88301917566674004</c:v>
                </c:pt>
              </c:numCache>
            </c:numRef>
          </c:yVal>
          <c:smooth val="1"/>
          <c:extLst>
            <c:ext xmlns:c16="http://schemas.microsoft.com/office/drawing/2014/chart" uri="{C3380CC4-5D6E-409C-BE32-E72D297353CC}">
              <c16:uniqueId val="{00000000-267C-4419-99EB-CDD1016D2ED0}"/>
            </c:ext>
          </c:extLst>
        </c:ser>
        <c:dLbls>
          <c:showLegendKey val="0"/>
          <c:showVal val="0"/>
          <c:showCatName val="0"/>
          <c:showSerName val="0"/>
          <c:showPercent val="0"/>
          <c:showBubbleSize val="0"/>
        </c:dLbls>
        <c:axId val="879010127"/>
        <c:axId val="878996687"/>
      </c:scatterChart>
      <c:valAx>
        <c:axId val="879010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6687"/>
        <c:crosses val="autoZero"/>
        <c:crossBetween val="midCat"/>
      </c:valAx>
      <c:valAx>
        <c:axId val="87899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010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977153</xdr:colOff>
      <xdr:row>2</xdr:row>
      <xdr:rowOff>134470</xdr:rowOff>
    </xdr:from>
    <xdr:to>
      <xdr:col>20</xdr:col>
      <xdr:colOff>358588</xdr:colOff>
      <xdr:row>18</xdr:row>
      <xdr:rowOff>17929</xdr:rowOff>
    </xdr:to>
    <xdr:graphicFrame macro="">
      <xdr:nvGraphicFramePr>
        <xdr:cNvPr id="2" name="Chart 1">
          <a:extLst>
            <a:ext uri="{FF2B5EF4-FFF2-40B4-BE49-F238E27FC236}">
              <a16:creationId xmlns:a16="http://schemas.microsoft.com/office/drawing/2014/main" id="{D7B1A04B-EA32-5AC4-639C-FB4389F45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349623</xdr:colOff>
      <xdr:row>8</xdr:row>
      <xdr:rowOff>35859</xdr:rowOff>
    </xdr:from>
    <xdr:to>
      <xdr:col>20</xdr:col>
      <xdr:colOff>475129</xdr:colOff>
      <xdr:row>23</xdr:row>
      <xdr:rowOff>89647</xdr:rowOff>
    </xdr:to>
    <xdr:graphicFrame macro="">
      <xdr:nvGraphicFramePr>
        <xdr:cNvPr id="2" name="Chart 1">
          <a:extLst>
            <a:ext uri="{FF2B5EF4-FFF2-40B4-BE49-F238E27FC236}">
              <a16:creationId xmlns:a16="http://schemas.microsoft.com/office/drawing/2014/main" id="{A3F06B5B-F2AC-8681-900C-9D765F65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G19" sqref="G19"/>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4" t="s">
        <v>305</v>
      </c>
      <c r="D1" s="144"/>
      <c r="E1" s="144"/>
      <c r="F1" s="9"/>
    </row>
    <row r="2" spans="1:6" ht="15">
      <c r="A2" s="7" t="s">
        <v>2</v>
      </c>
      <c r="B2" s="8"/>
      <c r="C2" s="10">
        <v>45865</v>
      </c>
      <c r="D2" s="11" t="s">
        <v>3</v>
      </c>
      <c r="E2" s="9"/>
      <c r="F2" s="9"/>
    </row>
    <row r="3" spans="1:6" ht="15">
      <c r="A3" s="7" t="s">
        <v>4</v>
      </c>
      <c r="B3" s="8"/>
      <c r="C3" s="12"/>
      <c r="D3" s="11" t="s">
        <v>3</v>
      </c>
      <c r="E3" s="9"/>
      <c r="F3" s="9"/>
    </row>
    <row r="4" spans="1:6" ht="15">
      <c r="A4" s="13" t="s">
        <v>5</v>
      </c>
      <c r="B4" s="14" t="s">
        <v>1</v>
      </c>
      <c r="C4" s="144" t="s">
        <v>307</v>
      </c>
      <c r="D4" s="144"/>
      <c r="E4" s="144"/>
      <c r="F4" s="9"/>
    </row>
    <row r="5" spans="1:6">
      <c r="A5" s="9"/>
      <c r="B5" s="9"/>
      <c r="C5" s="9"/>
      <c r="D5" s="9"/>
      <c r="E5" s="9"/>
      <c r="F5" s="9"/>
    </row>
    <row r="6" spans="1:6" ht="15">
      <c r="A6" s="15" t="s">
        <v>6</v>
      </c>
      <c r="B6" s="9"/>
      <c r="C6" s="9"/>
      <c r="D6" s="9"/>
      <c r="E6" s="9"/>
      <c r="F6" s="9"/>
    </row>
    <row r="7" spans="1:6" ht="15">
      <c r="A7" s="7" t="s">
        <v>7</v>
      </c>
      <c r="B7" s="8" t="s">
        <v>8</v>
      </c>
      <c r="C7" s="16">
        <v>0.8</v>
      </c>
      <c r="D7" s="17" t="s">
        <v>9</v>
      </c>
      <c r="E7" s="9"/>
      <c r="F7" s="9"/>
    </row>
    <row r="8" spans="1:6" ht="15">
      <c r="A8" s="7" t="s">
        <v>10</v>
      </c>
      <c r="B8" s="8" t="s">
        <v>8</v>
      </c>
      <c r="C8" s="16">
        <v>1.05</v>
      </c>
      <c r="D8" s="17" t="s">
        <v>9</v>
      </c>
      <c r="E8" s="9"/>
      <c r="F8" s="9"/>
    </row>
    <row r="9" spans="1:6" ht="15">
      <c r="A9" s="7" t="s">
        <v>11</v>
      </c>
      <c r="B9" s="8" t="s">
        <v>8</v>
      </c>
      <c r="C9" s="18"/>
      <c r="D9" s="9" t="s">
        <v>312</v>
      </c>
      <c r="E9" s="9"/>
      <c r="F9" s="9"/>
    </row>
    <row r="10" spans="1:6" ht="15">
      <c r="A10" s="7" t="s">
        <v>12</v>
      </c>
      <c r="B10" s="8" t="s">
        <v>8</v>
      </c>
      <c r="C10" s="16">
        <v>0.48</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4" t="s">
        <v>298</v>
      </c>
      <c r="D13" s="144"/>
      <c r="E13" s="144"/>
      <c r="F13" s="144"/>
    </row>
    <row r="14" spans="1:6">
      <c r="B14" s="6" t="s">
        <v>299</v>
      </c>
      <c r="C14" s="6" t="s">
        <v>300</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27"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6" max="6" width="12"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46" t="s">
        <v>297</v>
      </c>
      <c r="D3" s="146"/>
      <c r="E3" s="146"/>
      <c r="F3" s="4"/>
      <c r="G3" s="4"/>
      <c r="H3" s="4"/>
      <c r="I3" s="4"/>
      <c r="J3" s="22"/>
      <c r="K3" s="22"/>
      <c r="L3" s="22"/>
      <c r="M3" s="22"/>
      <c r="N3" s="22"/>
      <c r="O3" s="22"/>
      <c r="P3" s="22"/>
      <c r="Q3" s="22"/>
      <c r="R3" s="22"/>
      <c r="S3" s="22"/>
      <c r="T3" s="22"/>
      <c r="U3" s="22"/>
      <c r="V3" s="22"/>
      <c r="W3" s="22"/>
      <c r="X3" s="22"/>
      <c r="Y3" s="22"/>
    </row>
    <row r="4" spans="1:25" ht="12.75" customHeight="1">
      <c r="A4" s="25" t="s">
        <v>21</v>
      </c>
      <c r="B4" s="26"/>
      <c r="C4" s="147" t="s">
        <v>306</v>
      </c>
      <c r="D4" s="147"/>
      <c r="E4" s="147"/>
      <c r="F4" s="4"/>
      <c r="G4" s="4"/>
      <c r="H4" s="4"/>
      <c r="I4" s="4"/>
      <c r="J4" s="22"/>
      <c r="K4" s="22"/>
      <c r="L4" s="22"/>
      <c r="M4" s="22"/>
      <c r="N4" s="22"/>
      <c r="O4" s="22"/>
      <c r="P4" s="22"/>
      <c r="Q4" s="22"/>
      <c r="R4" s="22"/>
      <c r="S4" s="22"/>
      <c r="T4" s="22"/>
      <c r="U4" s="22"/>
      <c r="V4" s="22"/>
      <c r="W4" s="22"/>
      <c r="X4" s="22"/>
      <c r="Y4" s="22"/>
    </row>
    <row r="5" spans="1:25" ht="25.9"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48" t="s">
        <v>23</v>
      </c>
      <c r="D6" s="148"/>
      <c r="E6" s="148"/>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D8" s="30"/>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D9" s="34"/>
      <c r="E9" s="35"/>
      <c r="G9" s="34"/>
      <c r="I9" s="22" t="s">
        <v>303</v>
      </c>
      <c r="J9" s="22" t="s">
        <v>302</v>
      </c>
      <c r="K9" s="22"/>
      <c r="L9" s="22"/>
      <c r="M9" s="22"/>
      <c r="N9" s="22"/>
      <c r="O9" s="22"/>
      <c r="P9" s="22"/>
      <c r="Q9" s="22"/>
      <c r="R9" s="22"/>
      <c r="S9" s="22"/>
      <c r="T9" s="22"/>
      <c r="U9" s="22"/>
      <c r="V9" s="22"/>
      <c r="W9" s="22"/>
      <c r="X9" s="22"/>
      <c r="Y9" s="22"/>
    </row>
    <row r="10" spans="1:25" ht="23.45"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45865</v>
      </c>
      <c r="D12" s="38">
        <v>45865</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0.71180555555555558</v>
      </c>
      <c r="D13" s="39">
        <v>0.71180555555555558</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s="47"/>
      <c r="I16" s="22"/>
      <c r="J16" s="22"/>
      <c r="K16" s="22"/>
      <c r="L16" s="22"/>
      <c r="M16" s="22"/>
      <c r="N16" s="22"/>
      <c r="O16" s="22"/>
      <c r="P16" s="22"/>
      <c r="Q16" s="22"/>
      <c r="R16" s="22"/>
      <c r="S16" s="22"/>
      <c r="T16" s="22"/>
      <c r="U16" s="22"/>
      <c r="V16" s="22"/>
      <c r="W16" s="22"/>
      <c r="X16" s="22"/>
      <c r="Y16" s="22"/>
    </row>
    <row r="17" spans="1:25">
      <c r="A17" s="45" t="s">
        <v>41</v>
      </c>
      <c r="B17" s="46" t="s">
        <v>8</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0.8</v>
      </c>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0.25</v>
      </c>
      <c r="D19" s="22" t="s">
        <v>313</v>
      </c>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c r="G28" s="22"/>
      <c r="H28" s="22"/>
      <c r="I28" s="22"/>
      <c r="J28" s="22"/>
      <c r="K28" s="22"/>
      <c r="L28" s="22"/>
      <c r="M28" s="22"/>
      <c r="N28" s="22"/>
      <c r="O28" s="22"/>
      <c r="P28" s="22"/>
      <c r="Q28" s="22"/>
      <c r="R28" s="22"/>
      <c r="S28" s="22"/>
      <c r="T28" s="22"/>
      <c r="U28" s="22"/>
      <c r="V28" s="22"/>
      <c r="W28" s="22"/>
      <c r="X28" s="22"/>
      <c r="Y28" s="22"/>
    </row>
    <row r="29" spans="1:25" ht="24.2"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301</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G31" s="52"/>
      <c r="H31" s="52"/>
      <c r="I31" s="52"/>
      <c r="J31" s="52"/>
      <c r="K31" s="52"/>
      <c r="L31" s="52"/>
      <c r="M31" s="52"/>
      <c r="N31" s="52"/>
      <c r="O31" s="52"/>
      <c r="P31" s="52"/>
      <c r="Q31" s="52"/>
      <c r="R31" s="52"/>
      <c r="S31" s="52"/>
      <c r="T31" s="52"/>
      <c r="U31" s="52"/>
      <c r="V31" s="52"/>
      <c r="W31" s="22"/>
      <c r="X31" s="22"/>
      <c r="Y31" s="22"/>
    </row>
    <row r="32" spans="1:25">
      <c r="A32" s="45" t="s">
        <v>66</v>
      </c>
      <c r="B32" s="51"/>
      <c r="C32" s="48"/>
      <c r="E32" t="s">
        <v>315</v>
      </c>
      <c r="H32" s="22"/>
      <c r="I32" s="22"/>
      <c r="J32" s="22"/>
      <c r="K32" s="22"/>
      <c r="L32" s="22"/>
      <c r="M32" s="22"/>
      <c r="N32" s="22"/>
      <c r="O32" s="22"/>
      <c r="P32" s="22"/>
      <c r="Q32" s="22"/>
      <c r="R32" s="22"/>
      <c r="S32" s="22"/>
      <c r="T32" s="22"/>
      <c r="U32" s="22"/>
      <c r="V32" s="22"/>
      <c r="W32" s="22"/>
      <c r="X32" s="22"/>
      <c r="Y32" s="22"/>
    </row>
    <row r="33" spans="1:25">
      <c r="A33" s="36" t="s">
        <v>67</v>
      </c>
      <c r="B33" s="53"/>
      <c r="C33" s="150"/>
      <c r="D33" s="150"/>
      <c r="E33" s="150"/>
      <c r="F33" s="150"/>
      <c r="G33" s="150"/>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c r="A36" s="36" t="s">
        <v>69</v>
      </c>
      <c r="B36" s="54"/>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51" t="s">
        <v>79</v>
      </c>
      <c r="B41" s="151"/>
      <c r="C41" s="151"/>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2" t="s">
        <v>314</v>
      </c>
      <c r="B42" s="152"/>
      <c r="C42" s="152"/>
      <c r="D42" s="152"/>
      <c r="E42" s="152"/>
      <c r="F42" s="152"/>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6"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H17" sqref="H17"/>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E5" s="62">
        <v>0.3</v>
      </c>
      <c r="F5" s="6">
        <v>0.76600000000000001</v>
      </c>
      <c r="G5" s="6">
        <v>18.100000000000001</v>
      </c>
      <c r="O5" s="9"/>
      <c r="P5" s="9"/>
      <c r="Q5" s="9"/>
      <c r="R5" s="9"/>
      <c r="S5" s="9"/>
      <c r="T5" s="9"/>
      <c r="U5" s="9"/>
      <c r="V5" s="9"/>
      <c r="W5" s="9"/>
      <c r="X5" s="9"/>
      <c r="Y5" s="9"/>
      <c r="Z5" s="9"/>
      <c r="AA5" s="9"/>
      <c r="AB5" s="9"/>
    </row>
    <row r="6" spans="1:1024">
      <c r="A6" s="141">
        <v>0.05</v>
      </c>
      <c r="B6" s="141">
        <v>0.1</v>
      </c>
      <c r="C6" s="142">
        <f t="shared" ref="C6:C14" si="0">AVERAGE(A6:B6)</f>
        <v>7.5000000000000011E-2</v>
      </c>
      <c r="E6" s="62">
        <v>0.3</v>
      </c>
      <c r="F6" s="6">
        <v>0.72399999999999998</v>
      </c>
      <c r="G6" s="6">
        <v>17.2</v>
      </c>
      <c r="O6" s="9"/>
      <c r="P6" s="9"/>
      <c r="Q6" s="9"/>
      <c r="R6" s="9"/>
      <c r="S6" s="9"/>
      <c r="T6" s="9"/>
      <c r="U6" s="9"/>
      <c r="V6" s="9"/>
      <c r="W6" s="9"/>
      <c r="X6" s="9"/>
      <c r="Y6" s="9"/>
      <c r="Z6" s="9"/>
      <c r="AA6" s="9"/>
      <c r="AB6" s="9"/>
    </row>
    <row r="7" spans="1:1024">
      <c r="A7" s="141">
        <v>0.1</v>
      </c>
      <c r="B7" s="141">
        <v>0.15</v>
      </c>
      <c r="C7" s="142">
        <f t="shared" si="0"/>
        <v>0.125</v>
      </c>
      <c r="E7" s="62">
        <v>0.3</v>
      </c>
      <c r="F7" s="6">
        <v>0.76</v>
      </c>
      <c r="G7" s="6">
        <v>17.8</v>
      </c>
      <c r="O7" s="9"/>
      <c r="P7" s="9"/>
      <c r="Q7" s="9"/>
      <c r="R7" s="9"/>
      <c r="S7" s="9"/>
      <c r="T7" s="9"/>
      <c r="U7" s="9"/>
      <c r="V7" s="9"/>
      <c r="W7" s="9"/>
      <c r="X7" s="9"/>
      <c r="Y7" s="9"/>
      <c r="Z7" s="9"/>
      <c r="AA7" s="9"/>
      <c r="AB7" s="9"/>
    </row>
    <row r="8" spans="1:1024">
      <c r="A8" s="141">
        <v>0.15</v>
      </c>
      <c r="B8" s="141">
        <v>0.2</v>
      </c>
      <c r="C8" s="142">
        <f t="shared" si="0"/>
        <v>0.17499999999999999</v>
      </c>
      <c r="E8" s="62">
        <v>0.3</v>
      </c>
      <c r="F8" s="6">
        <v>0.71199999999999997</v>
      </c>
      <c r="G8" s="6">
        <v>18.100000000000001</v>
      </c>
      <c r="O8" s="9"/>
      <c r="P8" s="9"/>
      <c r="Q8" s="9"/>
      <c r="R8" s="9"/>
      <c r="S8" s="9"/>
      <c r="T8" s="9"/>
      <c r="U8" s="9"/>
      <c r="V8" s="9"/>
      <c r="W8" s="9"/>
      <c r="X8" s="9"/>
      <c r="Y8" s="9"/>
      <c r="Z8" s="9"/>
      <c r="AA8" s="9"/>
      <c r="AB8" s="9"/>
    </row>
    <row r="9" spans="1:1024">
      <c r="A9" s="141">
        <v>0.2</v>
      </c>
      <c r="B9" s="141">
        <v>0.25</v>
      </c>
      <c r="C9" s="142">
        <f t="shared" si="0"/>
        <v>0.22500000000000001</v>
      </c>
      <c r="E9" s="62">
        <v>0.2</v>
      </c>
      <c r="F9" s="6">
        <v>0.60499999999999998</v>
      </c>
      <c r="G9" s="6">
        <v>17</v>
      </c>
      <c r="O9" s="9"/>
      <c r="P9" s="9"/>
      <c r="Q9" s="9"/>
      <c r="R9" s="9"/>
      <c r="S9" s="9"/>
      <c r="T9" s="9"/>
      <c r="U9" s="9"/>
      <c r="V9" s="9"/>
      <c r="W9" s="9"/>
      <c r="X9" s="9"/>
      <c r="Y9" s="9"/>
      <c r="Z9" s="9"/>
      <c r="AA9" s="9"/>
      <c r="AB9" s="9"/>
    </row>
    <row r="10" spans="1:1024">
      <c r="A10" s="141">
        <v>0.25</v>
      </c>
      <c r="B10" s="141">
        <v>0.3</v>
      </c>
      <c r="C10" s="142">
        <f t="shared" si="0"/>
        <v>0.27500000000000002</v>
      </c>
      <c r="E10" s="62">
        <v>0.2</v>
      </c>
      <c r="F10" s="6">
        <v>0.49199999999999999</v>
      </c>
      <c r="G10" s="6">
        <v>16.8</v>
      </c>
      <c r="O10" s="9"/>
      <c r="P10" s="9"/>
      <c r="Q10" s="9"/>
      <c r="R10" s="9"/>
      <c r="S10" s="9"/>
      <c r="T10" s="9"/>
      <c r="U10" s="9"/>
      <c r="V10" s="9"/>
      <c r="W10" s="9"/>
      <c r="X10" s="9"/>
      <c r="Y10" s="9"/>
      <c r="Z10" s="9"/>
      <c r="AA10" s="9"/>
      <c r="AB10" s="9"/>
    </row>
    <row r="11" spans="1:1024">
      <c r="A11" s="141">
        <v>0.3</v>
      </c>
      <c r="B11" s="141">
        <v>0.35</v>
      </c>
      <c r="C11" s="142">
        <f t="shared" si="0"/>
        <v>0.32499999999999996</v>
      </c>
      <c r="E11" s="62">
        <v>0.1</v>
      </c>
      <c r="F11" s="6">
        <v>0.375</v>
      </c>
      <c r="G11" s="6">
        <v>17.100000000000001</v>
      </c>
      <c r="O11" s="9"/>
      <c r="P11" s="9"/>
      <c r="Q11" s="9"/>
      <c r="R11" s="9"/>
      <c r="S11" s="9"/>
      <c r="T11" s="9"/>
      <c r="U11" s="9"/>
      <c r="V11" s="9"/>
      <c r="W11" s="9"/>
      <c r="X11" s="9"/>
      <c r="Y11" s="9"/>
      <c r="Z11" s="9"/>
      <c r="AA11" s="9"/>
      <c r="AB11" s="9"/>
    </row>
    <row r="12" spans="1:1024">
      <c r="A12" s="141">
        <v>0.35</v>
      </c>
      <c r="B12" s="141">
        <v>0.4</v>
      </c>
      <c r="C12" s="142">
        <f t="shared" si="0"/>
        <v>0.375</v>
      </c>
      <c r="E12" s="62">
        <v>0</v>
      </c>
      <c r="F12" s="6">
        <v>0.29099999999999998</v>
      </c>
      <c r="G12" s="6">
        <v>17.399999999999999</v>
      </c>
      <c r="O12" s="9"/>
      <c r="P12" s="9"/>
      <c r="Q12" s="9"/>
      <c r="R12" s="9"/>
      <c r="S12" s="9"/>
      <c r="T12" s="9"/>
      <c r="U12" s="9"/>
      <c r="V12" s="9"/>
      <c r="W12" s="9"/>
      <c r="X12" s="9"/>
      <c r="Y12" s="9"/>
      <c r="Z12" s="9"/>
      <c r="AA12" s="9"/>
      <c r="AB12" s="9"/>
    </row>
    <row r="13" spans="1:1024">
      <c r="A13" s="141">
        <v>0.4</v>
      </c>
      <c r="B13" s="141">
        <v>0.42</v>
      </c>
      <c r="C13" s="142">
        <f t="shared" si="0"/>
        <v>0.41000000000000003</v>
      </c>
      <c r="E13" s="62">
        <v>0.1</v>
      </c>
      <c r="F13" s="6">
        <v>0.36799999999999999</v>
      </c>
      <c r="G13" s="6">
        <v>17.5</v>
      </c>
      <c r="N13" s="6" t="s">
        <v>309</v>
      </c>
      <c r="O13" s="9"/>
      <c r="P13" s="9"/>
      <c r="Q13" s="9"/>
      <c r="R13" s="9"/>
      <c r="S13" s="9"/>
      <c r="T13" s="9"/>
      <c r="U13" s="9"/>
      <c r="V13" s="9"/>
      <c r="W13" s="9"/>
      <c r="X13" s="9"/>
      <c r="Y13" s="9"/>
      <c r="Z13" s="9"/>
      <c r="AA13" s="9"/>
      <c r="AB13" s="9"/>
    </row>
    <row r="14" spans="1:1024">
      <c r="A14" s="141">
        <v>0.42</v>
      </c>
      <c r="B14" s="141">
        <v>0.48</v>
      </c>
      <c r="C14" s="142">
        <f t="shared" si="0"/>
        <v>0.44999999999999996</v>
      </c>
      <c r="E14" s="62">
        <v>0.2</v>
      </c>
      <c r="F14" s="6">
        <v>0.58199999999999996</v>
      </c>
      <c r="G14" s="6">
        <v>17</v>
      </c>
      <c r="N14" s="6" t="s">
        <v>308</v>
      </c>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F17" sqref="F17"/>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6"/>
      <c r="D4" s="156"/>
      <c r="E4" s="156"/>
      <c r="F4" s="22"/>
      <c r="G4" s="22"/>
      <c r="H4" s="22"/>
      <c r="I4" s="22"/>
      <c r="J4" s="22"/>
      <c r="K4" s="22"/>
      <c r="L4" s="22"/>
      <c r="M4" s="22"/>
      <c r="N4" s="22"/>
      <c r="O4" s="22"/>
      <c r="P4" s="22"/>
      <c r="Q4" s="22"/>
      <c r="R4" s="22"/>
      <c r="S4" s="22"/>
      <c r="T4" s="22"/>
      <c r="U4" s="22"/>
      <c r="V4" s="22"/>
      <c r="W4" s="22"/>
      <c r="X4" s="22"/>
      <c r="Y4" s="22"/>
      <c r="Z4" s="22"/>
    </row>
    <row r="5" spans="1:26" ht="15.75">
      <c r="A5" s="70"/>
      <c r="B5" s="70"/>
      <c r="C5" s="156"/>
      <c r="D5" s="156"/>
      <c r="E5" s="156"/>
      <c r="F5" s="22"/>
      <c r="G5" s="22"/>
      <c r="H5" s="22"/>
      <c r="I5" s="22"/>
      <c r="J5" s="22"/>
      <c r="K5" s="22"/>
      <c r="L5" s="22"/>
      <c r="M5" s="22"/>
      <c r="N5" s="22"/>
      <c r="O5" s="22"/>
      <c r="P5" s="22"/>
      <c r="Q5" s="22"/>
      <c r="R5" s="22"/>
      <c r="S5" s="22"/>
      <c r="T5" s="22"/>
      <c r="U5" s="22"/>
      <c r="V5" s="22"/>
      <c r="W5" s="22"/>
      <c r="X5" s="22"/>
      <c r="Y5" s="22"/>
      <c r="Z5" s="22"/>
    </row>
    <row r="6" spans="1:26" ht="15.75">
      <c r="A6" s="70"/>
      <c r="B6" s="70"/>
      <c r="C6" s="156"/>
      <c r="D6" s="156"/>
      <c r="E6" s="156"/>
      <c r="F6" s="22"/>
      <c r="G6" s="22"/>
      <c r="H6" s="22"/>
      <c r="I6" s="22"/>
      <c r="J6" s="22"/>
      <c r="K6" s="22"/>
      <c r="L6" s="22"/>
      <c r="M6" s="22"/>
      <c r="N6" s="22"/>
      <c r="O6" s="22"/>
      <c r="P6" s="22"/>
      <c r="Q6" s="22"/>
      <c r="R6" s="22"/>
      <c r="S6" s="22"/>
      <c r="T6" s="22"/>
      <c r="U6" s="22"/>
      <c r="V6" s="22"/>
      <c r="W6" s="22"/>
      <c r="X6" s="22"/>
      <c r="Y6" s="22"/>
      <c r="Z6" s="22"/>
    </row>
    <row r="7" spans="1:26" ht="15.75">
      <c r="A7" s="70"/>
      <c r="B7" s="70"/>
      <c r="C7" s="156"/>
      <c r="D7" s="156"/>
      <c r="E7" s="156"/>
      <c r="F7" s="22"/>
      <c r="G7" s="22"/>
      <c r="H7" s="22"/>
      <c r="I7" s="22"/>
      <c r="J7" s="22"/>
      <c r="K7" s="22"/>
      <c r="L7" s="22"/>
      <c r="M7" s="22"/>
      <c r="N7" s="22"/>
      <c r="O7" s="22"/>
      <c r="P7" s="22"/>
      <c r="Q7" s="22"/>
      <c r="R7" s="22"/>
      <c r="S7" s="22"/>
      <c r="T7" s="22"/>
      <c r="U7" s="22"/>
      <c r="V7" s="22"/>
      <c r="W7" s="22"/>
      <c r="X7" s="22"/>
      <c r="Y7" s="22"/>
      <c r="Z7" s="22"/>
    </row>
    <row r="8" spans="1:26" ht="15.75">
      <c r="A8" s="70"/>
      <c r="B8" s="70"/>
      <c r="C8" s="156"/>
      <c r="D8" s="156"/>
      <c r="E8" s="156"/>
      <c r="F8" s="22"/>
      <c r="G8" s="22"/>
      <c r="H8" s="22"/>
      <c r="I8" s="22"/>
      <c r="J8" s="22"/>
      <c r="K8" s="22"/>
      <c r="L8" s="22"/>
      <c r="M8" s="22"/>
      <c r="N8" s="22"/>
      <c r="O8" s="22"/>
      <c r="P8" s="22"/>
      <c r="Q8" s="22"/>
      <c r="R8" s="22"/>
      <c r="S8" s="22"/>
      <c r="T8" s="22"/>
      <c r="U8" s="22"/>
      <c r="V8" s="22"/>
      <c r="W8" s="22"/>
      <c r="X8" s="22"/>
      <c r="Y8" s="22"/>
      <c r="Z8" s="22"/>
    </row>
    <row r="9" spans="1:26" ht="15.75">
      <c r="A9" s="70"/>
      <c r="B9" s="70"/>
      <c r="C9" s="156"/>
      <c r="D9" s="156"/>
      <c r="E9" s="156"/>
      <c r="F9" s="22"/>
      <c r="G9" s="22"/>
      <c r="H9" s="22"/>
      <c r="I9" s="22"/>
      <c r="J9" s="22"/>
      <c r="K9" s="22"/>
      <c r="L9" s="22"/>
      <c r="M9" s="22"/>
      <c r="N9" s="22"/>
      <c r="O9" s="22"/>
      <c r="P9" s="22"/>
      <c r="Q9" s="22"/>
      <c r="R9" s="22"/>
      <c r="S9" s="22"/>
      <c r="T9" s="22"/>
      <c r="U9" s="22"/>
      <c r="V9" s="22"/>
      <c r="W9" s="22"/>
      <c r="X9" s="22"/>
      <c r="Y9" s="22"/>
      <c r="Z9" s="22"/>
    </row>
    <row r="10" spans="1:26" ht="15.75">
      <c r="A10" s="70"/>
      <c r="B10" s="70"/>
      <c r="C10" s="156"/>
      <c r="D10" s="156"/>
      <c r="E10" s="156"/>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6"/>
      <c r="D11" s="156"/>
      <c r="E11" s="156"/>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6"/>
      <c r="D12" s="156"/>
      <c r="E12" s="156"/>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6"/>
      <c r="D13" s="156"/>
      <c r="E13" s="156"/>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6"/>
      <c r="D14" s="156"/>
      <c r="E14" s="156"/>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6"/>
      <c r="D15" s="156"/>
      <c r="E15" s="156"/>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6"/>
      <c r="D16" s="156"/>
      <c r="E16" s="156"/>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6"/>
      <c r="D17" s="156"/>
      <c r="E17" s="156"/>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6"/>
      <c r="D18" s="156"/>
      <c r="E18" s="156"/>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6"/>
      <c r="D19" s="156"/>
      <c r="E19" s="156"/>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6"/>
      <c r="D20" s="156"/>
      <c r="E20" s="156"/>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6"/>
      <c r="D21" s="156"/>
      <c r="E21" s="156"/>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6"/>
      <c r="D22" s="156"/>
      <c r="E22" s="156"/>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6"/>
      <c r="D23" s="156"/>
      <c r="E23" s="156"/>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6"/>
      <c r="D24" s="156"/>
      <c r="E24" s="156"/>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6"/>
      <c r="D25" s="156"/>
      <c r="E25" s="156"/>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6"/>
      <c r="D26" s="156"/>
      <c r="E26" s="156"/>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6"/>
      <c r="D27" s="156"/>
      <c r="E27" s="156"/>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6"/>
      <c r="D28" s="156"/>
      <c r="E28" s="156"/>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6"/>
      <c r="D29" s="156"/>
      <c r="E29" s="156"/>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6"/>
      <c r="D30" s="156"/>
      <c r="E30" s="156"/>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6"/>
      <c r="D31" s="156"/>
      <c r="E31" s="156"/>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6"/>
      <c r="D32" s="156"/>
      <c r="E32" s="156"/>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6"/>
      <c r="D33" s="156"/>
      <c r="E33" s="156"/>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6"/>
      <c r="D34" s="156"/>
      <c r="E34" s="156"/>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6"/>
      <c r="D35" s="156"/>
      <c r="E35" s="156"/>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6"/>
      <c r="D36" s="156"/>
      <c r="E36" s="156"/>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6"/>
      <c r="D37" s="156"/>
      <c r="E37" s="156"/>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6"/>
      <c r="D38" s="156"/>
      <c r="E38" s="156"/>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6"/>
      <c r="D39" s="156"/>
      <c r="E39" s="156"/>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9"/>
  <sheetViews>
    <sheetView zoomScale="85" zoomScaleNormal="85" workbookViewId="0">
      <selection activeCell="F16" sqref="F16"/>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0.4</v>
      </c>
      <c r="D4" s="157" t="s">
        <v>281</v>
      </c>
      <c r="E4" s="157"/>
      <c r="F4" s="6" t="s">
        <v>311</v>
      </c>
      <c r="G4" s="9"/>
      <c r="H4" s="9"/>
      <c r="I4" s="9"/>
      <c r="J4" s="9"/>
      <c r="K4" s="9"/>
      <c r="L4" s="9"/>
      <c r="M4" s="9"/>
      <c r="N4" s="9"/>
      <c r="O4" s="9"/>
      <c r="P4" s="9"/>
      <c r="Q4" s="9"/>
      <c r="R4" s="9"/>
      <c r="S4" s="9"/>
      <c r="T4" s="9"/>
      <c r="U4" s="9"/>
      <c r="V4" s="9"/>
      <c r="W4" s="9"/>
      <c r="X4" s="9"/>
      <c r="Y4" s="9"/>
      <c r="Z4" s="9"/>
    </row>
    <row r="5" spans="1:26">
      <c r="A5" s="62"/>
      <c r="B5" s="62">
        <v>0.12</v>
      </c>
      <c r="D5" s="59"/>
      <c r="E5" s="59" t="s">
        <v>181</v>
      </c>
      <c r="G5" s="9"/>
      <c r="H5" s="9"/>
      <c r="I5" s="9"/>
      <c r="J5" s="9"/>
      <c r="K5" s="9"/>
      <c r="L5" s="9"/>
      <c r="M5" s="9"/>
      <c r="N5" s="9"/>
      <c r="O5" s="9"/>
      <c r="P5" s="9"/>
      <c r="Q5" s="9"/>
      <c r="R5" s="9"/>
      <c r="S5" s="9"/>
      <c r="T5" s="9"/>
      <c r="U5" s="9"/>
      <c r="V5" s="9"/>
      <c r="W5" s="9"/>
      <c r="X5" s="9"/>
      <c r="Y5" s="9"/>
      <c r="Z5" s="9"/>
    </row>
    <row r="6" spans="1:26">
      <c r="A6" s="62"/>
      <c r="B6" s="62">
        <v>0.42</v>
      </c>
      <c r="D6" s="59"/>
      <c r="E6" s="59" t="s">
        <v>181</v>
      </c>
      <c r="G6" s="9"/>
      <c r="H6" s="9"/>
      <c r="I6" s="9"/>
      <c r="J6" s="9"/>
      <c r="K6" s="9"/>
      <c r="L6" s="9"/>
      <c r="M6" s="9"/>
      <c r="N6" s="9"/>
      <c r="O6" s="9"/>
      <c r="P6" s="9"/>
      <c r="Q6" s="9"/>
      <c r="R6" s="9"/>
      <c r="S6" s="9"/>
      <c r="T6" s="9"/>
      <c r="U6" s="9"/>
      <c r="V6" s="9"/>
      <c r="W6" s="9"/>
      <c r="X6" s="9"/>
      <c r="Y6" s="9"/>
      <c r="Z6" s="9"/>
    </row>
    <row r="7" spans="1:26">
      <c r="A7" s="6">
        <v>0.4</v>
      </c>
      <c r="B7" s="6">
        <v>0.42</v>
      </c>
      <c r="D7" s="157"/>
      <c r="E7" s="157"/>
      <c r="F7" s="6" t="s">
        <v>310</v>
      </c>
      <c r="G7" s="9"/>
      <c r="H7" s="9"/>
      <c r="I7" s="9"/>
      <c r="J7" s="9"/>
      <c r="K7" s="9"/>
      <c r="L7" s="9"/>
      <c r="M7" s="9"/>
      <c r="N7" s="9"/>
      <c r="O7" s="9"/>
      <c r="P7" s="9"/>
      <c r="Q7" s="9"/>
      <c r="R7" s="9"/>
      <c r="S7" s="9"/>
      <c r="T7" s="9"/>
      <c r="U7" s="9"/>
      <c r="V7" s="9"/>
      <c r="W7" s="9"/>
      <c r="X7" s="9"/>
      <c r="Y7" s="9"/>
      <c r="Z7" s="9"/>
    </row>
    <row r="8" spans="1:26">
      <c r="A8" s="6">
        <v>0.42</v>
      </c>
      <c r="B8" s="6">
        <v>0.48</v>
      </c>
      <c r="D8" s="157"/>
      <c r="E8" s="157"/>
      <c r="F8" s="6" t="s">
        <v>308</v>
      </c>
      <c r="G8" s="9"/>
      <c r="H8" s="9"/>
      <c r="I8" s="9"/>
      <c r="J8" s="9"/>
      <c r="K8" s="9"/>
      <c r="L8" s="9"/>
      <c r="M8" s="9"/>
      <c r="N8" s="9"/>
      <c r="O8" s="9"/>
      <c r="P8" s="9"/>
      <c r="Q8" s="9"/>
      <c r="R8" s="9"/>
      <c r="S8" s="9"/>
      <c r="T8" s="9"/>
      <c r="U8" s="9"/>
      <c r="V8" s="9"/>
      <c r="W8" s="9"/>
      <c r="X8" s="9"/>
      <c r="Y8" s="9"/>
      <c r="Z8" s="9"/>
    </row>
    <row r="9" spans="1:26">
      <c r="C9"/>
      <c r="D9" s="157"/>
      <c r="E9" s="157"/>
      <c r="F9"/>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v>0</v>
      </c>
      <c r="B11" s="6">
        <v>0.1</v>
      </c>
      <c r="D11" s="157"/>
      <c r="E11" s="157"/>
      <c r="F11" s="6" t="s">
        <v>316</v>
      </c>
      <c r="G11" s="9"/>
      <c r="H11" s="9"/>
      <c r="I11" s="9"/>
      <c r="J11" s="9"/>
      <c r="K11" s="9"/>
      <c r="L11" s="9"/>
      <c r="M11" s="9"/>
      <c r="N11" s="9"/>
      <c r="O11" s="9"/>
      <c r="P11" s="9"/>
      <c r="Q11" s="9"/>
      <c r="R11" s="9"/>
      <c r="S11" s="9"/>
      <c r="T11" s="9"/>
      <c r="U11" s="9"/>
      <c r="V11" s="9"/>
      <c r="W11" s="9"/>
      <c r="X11" s="9"/>
      <c r="Y11" s="9"/>
      <c r="Z11" s="9"/>
    </row>
    <row r="12" spans="1:26">
      <c r="A12" s="62">
        <v>0.1</v>
      </c>
      <c r="B12" s="6">
        <v>0.2</v>
      </c>
      <c r="D12" s="157"/>
      <c r="E12" s="157"/>
      <c r="F12" s="6" t="s">
        <v>317</v>
      </c>
      <c r="G12" s="9"/>
      <c r="H12" s="9"/>
      <c r="I12" s="9"/>
      <c r="J12" s="9"/>
      <c r="K12" s="9"/>
      <c r="L12" s="9"/>
      <c r="M12" s="9"/>
      <c r="N12" s="9"/>
      <c r="O12" s="9"/>
      <c r="P12" s="9"/>
      <c r="Q12" s="9"/>
      <c r="R12" s="9"/>
      <c r="S12" s="9"/>
      <c r="T12" s="9"/>
      <c r="U12" s="9"/>
      <c r="V12" s="9"/>
      <c r="W12" s="9"/>
      <c r="X12" s="9"/>
      <c r="Y12" s="9"/>
      <c r="Z12" s="9"/>
    </row>
    <row r="13" spans="1:26">
      <c r="A13" s="62">
        <v>0.2</v>
      </c>
      <c r="B13" s="6">
        <v>0.3</v>
      </c>
      <c r="D13" s="157"/>
      <c r="E13" s="157"/>
      <c r="F13" s="6" t="s">
        <v>318</v>
      </c>
      <c r="G13" s="9"/>
      <c r="H13" s="9"/>
      <c r="I13" s="9"/>
      <c r="J13" s="9"/>
      <c r="K13" s="9"/>
      <c r="L13" s="9"/>
      <c r="M13" s="9"/>
      <c r="N13" s="9"/>
      <c r="O13" s="9"/>
      <c r="P13" s="9"/>
      <c r="Q13" s="9"/>
      <c r="R13" s="9"/>
      <c r="S13" s="9"/>
      <c r="T13" s="9"/>
      <c r="U13" s="9"/>
      <c r="V13" s="9"/>
      <c r="W13" s="9"/>
      <c r="X13" s="9"/>
      <c r="Y13" s="9"/>
      <c r="Z13" s="9"/>
    </row>
    <row r="14" spans="1:26">
      <c r="A14" s="62">
        <v>0.3</v>
      </c>
      <c r="B14" s="6">
        <v>0.39</v>
      </c>
      <c r="D14" s="157"/>
      <c r="E14" s="157"/>
      <c r="F14" s="6" t="s">
        <v>319</v>
      </c>
      <c r="G14" s="9"/>
      <c r="H14" s="9"/>
      <c r="I14" s="9"/>
      <c r="J14" s="9"/>
      <c r="K14" s="9"/>
      <c r="L14" s="9"/>
      <c r="M14" s="9"/>
      <c r="N14" s="9"/>
      <c r="O14" s="9"/>
      <c r="P14" s="9"/>
      <c r="Q14" s="9"/>
      <c r="R14" s="9"/>
      <c r="S14" s="9"/>
      <c r="T14" s="9"/>
      <c r="U14" s="9"/>
      <c r="V14" s="9"/>
      <c r="W14" s="9"/>
      <c r="X14" s="9"/>
      <c r="Y14" s="9"/>
      <c r="Z14" s="9"/>
    </row>
    <row r="15" spans="1:26">
      <c r="A15" s="62">
        <v>0.42</v>
      </c>
      <c r="B15" s="6">
        <v>0.48</v>
      </c>
      <c r="D15" s="157"/>
      <c r="E15" s="157"/>
      <c r="F15" s="6" t="s">
        <v>320</v>
      </c>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c r="A26" s="62"/>
      <c r="B26" s="62"/>
      <c r="D26" s="157"/>
      <c r="E26" s="157"/>
      <c r="G26" s="9"/>
      <c r="H26" s="9"/>
      <c r="I26" s="9"/>
      <c r="J26" s="9"/>
      <c r="K26" s="9"/>
      <c r="L26" s="9"/>
      <c r="M26" s="9"/>
      <c r="N26" s="9"/>
      <c r="O26" s="9"/>
      <c r="P26" s="9"/>
      <c r="Q26" s="9"/>
      <c r="R26" s="9"/>
      <c r="S26" s="9"/>
      <c r="T26" s="9"/>
      <c r="U26" s="9"/>
      <c r="V26" s="9"/>
      <c r="W26" s="9"/>
      <c r="X26" s="9"/>
      <c r="Y26" s="9"/>
      <c r="Z26" s="9"/>
    </row>
    <row r="27" spans="1:26">
      <c r="A27" s="62"/>
      <c r="D27" s="157"/>
      <c r="E27" s="157"/>
      <c r="G27" s="9"/>
      <c r="H27" s="9"/>
      <c r="I27" s="9"/>
      <c r="J27" s="9"/>
      <c r="K27" s="9"/>
      <c r="L27" s="9"/>
      <c r="M27" s="9"/>
      <c r="N27" s="9"/>
      <c r="O27" s="9"/>
      <c r="P27" s="9"/>
      <c r="Q27" s="9"/>
      <c r="R27" s="9"/>
      <c r="S27" s="9"/>
      <c r="T27" s="9"/>
      <c r="U27" s="9"/>
      <c r="V27" s="9"/>
      <c r="W27" s="9"/>
      <c r="X27" s="9"/>
      <c r="Y27" s="9"/>
      <c r="Z27" s="9"/>
    </row>
    <row r="28" spans="1:26" ht="13.5" customHeight="1">
      <c r="A28" s="62"/>
      <c r="B28" s="59"/>
      <c r="C28" s="59"/>
      <c r="D28" s="157"/>
      <c r="E28" s="157"/>
      <c r="F28" s="59"/>
      <c r="G28" s="2"/>
      <c r="H28" s="2"/>
      <c r="I28" s="2"/>
      <c r="J28" s="2"/>
      <c r="K28" s="2"/>
      <c r="L28" s="2"/>
      <c r="M28" s="2"/>
      <c r="N28" s="2"/>
      <c r="O28" s="2"/>
      <c r="P28" s="2"/>
      <c r="Q28" s="2"/>
      <c r="R28" s="2"/>
      <c r="S28" s="2"/>
      <c r="T28" s="2"/>
      <c r="U28" s="2"/>
      <c r="V28" s="2"/>
      <c r="W28" s="2"/>
      <c r="X28" s="2"/>
      <c r="Y28" s="2"/>
      <c r="Z28" s="2"/>
    </row>
    <row r="29" spans="1:26">
      <c r="A29" s="62"/>
      <c r="B29" s="59"/>
      <c r="C29" s="59"/>
      <c r="D29" s="157"/>
      <c r="E29" s="157"/>
      <c r="F29" s="59"/>
      <c r="G29" s="2"/>
      <c r="H29" s="2"/>
      <c r="I29" s="2"/>
      <c r="J29" s="2"/>
      <c r="K29" s="2"/>
      <c r="L29" s="2"/>
      <c r="M29" s="2"/>
      <c r="N29" s="2"/>
      <c r="O29" s="2"/>
      <c r="P29" s="2"/>
      <c r="Q29" s="2"/>
      <c r="R29" s="2"/>
      <c r="S29" s="2"/>
      <c r="T29" s="2"/>
      <c r="U29" s="2"/>
      <c r="V29" s="2"/>
      <c r="W29" s="2"/>
      <c r="X29" s="2"/>
      <c r="Y29" s="2"/>
      <c r="Z29" s="2"/>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62"/>
      <c r="D47" s="157"/>
      <c r="E47" s="157"/>
      <c r="G47" s="9"/>
      <c r="H47" s="9"/>
      <c r="I47" s="9"/>
      <c r="J47" s="9"/>
      <c r="K47" s="9"/>
      <c r="L47" s="9"/>
      <c r="M47" s="9"/>
      <c r="N47" s="9"/>
      <c r="O47" s="9"/>
      <c r="P47" s="9"/>
      <c r="Q47" s="9"/>
      <c r="R47" s="9"/>
      <c r="S47" s="9"/>
      <c r="T47" s="9"/>
      <c r="U47" s="9"/>
      <c r="V47" s="9"/>
      <c r="W47" s="9"/>
      <c r="X47" s="9"/>
      <c r="Y47" s="9"/>
      <c r="Z47" s="9"/>
    </row>
    <row r="48" spans="1:26">
      <c r="A48" s="62"/>
      <c r="D48" s="157"/>
      <c r="E48" s="157"/>
      <c r="G48" s="9"/>
      <c r="H48" s="9"/>
      <c r="I48" s="9"/>
      <c r="J48" s="9"/>
      <c r="K48" s="9"/>
      <c r="L48" s="9"/>
      <c r="M48" s="9"/>
      <c r="N48" s="9"/>
      <c r="O48" s="9"/>
      <c r="P48" s="9"/>
      <c r="Q48" s="9"/>
      <c r="R48" s="9"/>
      <c r="S48" s="9"/>
      <c r="T48" s="9"/>
      <c r="U48" s="9"/>
      <c r="V48" s="9"/>
      <c r="W48" s="9"/>
      <c r="X48" s="9"/>
      <c r="Y48" s="9"/>
      <c r="Z48" s="9"/>
    </row>
    <row r="49" spans="1:26">
      <c r="A49" s="9"/>
      <c r="B49" s="9"/>
      <c r="C49" s="9"/>
      <c r="D49" s="153"/>
      <c r="E49" s="153"/>
      <c r="F49" s="9"/>
      <c r="G49" s="9"/>
      <c r="H49" s="9"/>
      <c r="I49" s="9"/>
      <c r="J49" s="9"/>
      <c r="K49" s="9"/>
      <c r="L49" s="9"/>
      <c r="M49" s="9"/>
      <c r="N49" s="9"/>
      <c r="O49" s="9"/>
      <c r="P49" s="9"/>
      <c r="Q49" s="9"/>
      <c r="R49" s="9"/>
      <c r="S49" s="9"/>
      <c r="T49" s="9"/>
      <c r="U49" s="9"/>
      <c r="V49" s="9"/>
      <c r="W49" s="9"/>
      <c r="X49" s="9"/>
      <c r="Y49" s="9"/>
      <c r="Z49" s="9"/>
    </row>
  </sheetData>
  <mergeCells count="46">
    <mergeCell ref="D49:E49"/>
    <mergeCell ref="D44:E44"/>
    <mergeCell ref="D45:E45"/>
    <mergeCell ref="D46:E46"/>
    <mergeCell ref="D47:E47"/>
    <mergeCell ref="D48:E48"/>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D19:E19"/>
    <mergeCell ref="D20:E20"/>
    <mergeCell ref="D21:E21"/>
    <mergeCell ref="D22:E22"/>
    <mergeCell ref="D23:E23"/>
    <mergeCell ref="D14:E14"/>
    <mergeCell ref="D15:E15"/>
    <mergeCell ref="D16:E16"/>
    <mergeCell ref="D17:E17"/>
    <mergeCell ref="D18:E18"/>
    <mergeCell ref="D9:E9"/>
    <mergeCell ref="D10:E10"/>
    <mergeCell ref="D11:E11"/>
    <mergeCell ref="D12:E12"/>
    <mergeCell ref="D13:E13"/>
    <mergeCell ref="D8:E8"/>
    <mergeCell ref="D2:E2"/>
    <mergeCell ref="D3:E3"/>
    <mergeCell ref="D4:E4"/>
    <mergeCell ref="D7:E7"/>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D4:E48</xm:sqref>
        </x14:dataValidation>
        <x14:dataValidation type="list" allowBlank="1" showInputMessage="1" showErrorMessage="1" xr:uid="{00000000-0002-0000-0400-000003000000}">
          <x14:formula1>
            <xm:f>lists!$F44:$F68</xm:f>
          </x14:formula1>
          <x14:formula2>
            <xm:f>0</xm:f>
          </x14:formula2>
          <xm:sqref>D49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G21" sqref="G21"/>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c r="E4" s="6">
        <v>109.1</v>
      </c>
      <c r="F4" s="6">
        <v>6.6</v>
      </c>
      <c r="G4" s="6">
        <f t="shared" ref="G4:G6" si="0">0.834*E4/(E4-F4)</f>
        <v>0.88770146341463407</v>
      </c>
      <c r="I4" s="9"/>
      <c r="J4" s="9"/>
      <c r="K4" s="9"/>
      <c r="L4" s="9"/>
      <c r="M4" s="9"/>
      <c r="N4" s="9"/>
      <c r="O4" s="9"/>
      <c r="P4" s="9"/>
      <c r="Q4" s="9"/>
      <c r="R4" s="9"/>
      <c r="S4" s="9"/>
      <c r="T4" s="9"/>
      <c r="U4" s="9"/>
      <c r="V4" s="9"/>
    </row>
    <row r="5" spans="1:1024">
      <c r="A5" s="141">
        <v>0.05</v>
      </c>
      <c r="B5" s="141">
        <v>0.1</v>
      </c>
      <c r="C5" s="142">
        <f t="shared" ref="C5:C13" si="1">AVERAGE(A5:B5)</f>
        <v>7.5000000000000011E-2</v>
      </c>
      <c r="D5" s="62"/>
      <c r="E5" s="6">
        <v>114.1</v>
      </c>
      <c r="F5" s="6">
        <v>7.4</v>
      </c>
      <c r="G5" s="6">
        <f t="shared" si="0"/>
        <v>0.89184067478912843</v>
      </c>
      <c r="I5" s="9"/>
      <c r="J5" s="9"/>
      <c r="K5" s="9"/>
      <c r="L5" s="9"/>
      <c r="M5" s="9"/>
      <c r="N5" s="9"/>
      <c r="O5" s="9"/>
      <c r="P5" s="9"/>
      <c r="Q5" s="9"/>
      <c r="R5" s="9"/>
      <c r="S5" s="9"/>
      <c r="T5" s="9"/>
      <c r="U5" s="9"/>
      <c r="V5" s="9"/>
    </row>
    <row r="6" spans="1:1024">
      <c r="A6" s="141">
        <v>0.1</v>
      </c>
      <c r="B6" s="141">
        <v>0.15</v>
      </c>
      <c r="C6" s="142">
        <f t="shared" si="1"/>
        <v>0.125</v>
      </c>
      <c r="D6" s="62"/>
      <c r="E6" s="6">
        <v>123.4</v>
      </c>
      <c r="F6" s="6">
        <v>7.28</v>
      </c>
      <c r="G6" s="6">
        <f t="shared" si="0"/>
        <v>0.88628660006889415</v>
      </c>
      <c r="I6" s="9"/>
      <c r="J6" s="9"/>
      <c r="K6" s="9"/>
      <c r="L6" s="9"/>
      <c r="M6" s="9"/>
      <c r="N6" s="9"/>
      <c r="O6" s="9"/>
      <c r="P6" s="9"/>
      <c r="Q6" s="9"/>
      <c r="R6" s="9"/>
      <c r="S6" s="9"/>
      <c r="T6" s="9"/>
      <c r="U6" s="9"/>
      <c r="V6" s="9"/>
    </row>
    <row r="7" spans="1:1024">
      <c r="A7" s="141">
        <v>0.15</v>
      </c>
      <c r="B7" s="141">
        <v>0.2</v>
      </c>
      <c r="C7" s="142">
        <f t="shared" si="1"/>
        <v>0.17499999999999999</v>
      </c>
      <c r="D7" s="62"/>
      <c r="E7" s="6">
        <v>144.30000000000001</v>
      </c>
      <c r="F7" s="6">
        <v>6.2</v>
      </c>
      <c r="G7" s="6">
        <f t="shared" ref="G7:G13" si="2">0.834*E7/(E7-F7)</f>
        <v>0.87144243301955093</v>
      </c>
      <c r="I7" s="9"/>
      <c r="J7" s="9"/>
      <c r="K7" s="9"/>
      <c r="L7" s="9"/>
      <c r="M7" s="9"/>
      <c r="N7" s="9"/>
      <c r="O7" s="9"/>
      <c r="P7" s="9"/>
      <c r="Q7" s="9"/>
      <c r="R7" s="9"/>
      <c r="S7" s="9"/>
      <c r="T7" s="9"/>
      <c r="U7" s="9"/>
      <c r="V7" s="9"/>
    </row>
    <row r="8" spans="1:1024">
      <c r="A8" s="141">
        <v>0.2</v>
      </c>
      <c r="B8" s="141">
        <v>0.25</v>
      </c>
      <c r="C8" s="142">
        <f t="shared" si="1"/>
        <v>0.22500000000000001</v>
      </c>
      <c r="D8" s="62"/>
      <c r="E8" s="6">
        <v>152.54</v>
      </c>
      <c r="F8" s="6">
        <v>4.0999999999999996</v>
      </c>
      <c r="G8" s="6">
        <f t="shared" si="2"/>
        <v>0.85703556992724328</v>
      </c>
      <c r="I8" s="9"/>
      <c r="J8" s="9"/>
      <c r="K8" s="9"/>
      <c r="L8" s="9"/>
      <c r="M8" s="9"/>
      <c r="N8" s="9"/>
      <c r="O8" s="9"/>
      <c r="P8" s="9"/>
      <c r="Q8" s="9"/>
      <c r="R8" s="9"/>
      <c r="S8" s="9"/>
      <c r="T8" s="9"/>
      <c r="U8" s="9"/>
      <c r="V8" s="9"/>
    </row>
    <row r="9" spans="1:1024">
      <c r="A9" s="141">
        <v>0.25</v>
      </c>
      <c r="B9" s="141">
        <v>0.3</v>
      </c>
      <c r="C9" s="142">
        <f t="shared" si="1"/>
        <v>0.27500000000000002</v>
      </c>
      <c r="D9" s="62"/>
      <c r="E9" s="6">
        <v>161.1</v>
      </c>
      <c r="F9" s="6">
        <v>3.56</v>
      </c>
      <c r="G9" s="6">
        <f t="shared" si="2"/>
        <v>0.85284626126697971</v>
      </c>
      <c r="I9" s="9"/>
      <c r="J9" s="9"/>
      <c r="K9" s="9"/>
      <c r="L9" s="9"/>
      <c r="M9" s="9"/>
      <c r="N9" s="9"/>
      <c r="O9" s="9"/>
      <c r="P9" s="9"/>
      <c r="Q9" s="9"/>
      <c r="R9" s="9"/>
      <c r="S9" s="9"/>
      <c r="T9" s="9"/>
      <c r="U9" s="9"/>
      <c r="V9" s="9"/>
    </row>
    <row r="10" spans="1:1024">
      <c r="A10" s="141">
        <v>0.3</v>
      </c>
      <c r="B10" s="141">
        <v>0.35</v>
      </c>
      <c r="C10" s="142">
        <f t="shared" si="1"/>
        <v>0.32499999999999996</v>
      </c>
      <c r="D10" s="62"/>
      <c r="E10" s="6">
        <v>144</v>
      </c>
      <c r="F10" s="6">
        <v>5.46</v>
      </c>
      <c r="G10" s="6">
        <f t="shared" si="2"/>
        <v>0.86686877436119525</v>
      </c>
      <c r="I10" s="9"/>
      <c r="J10" s="9"/>
      <c r="K10" s="9"/>
      <c r="L10" s="9"/>
      <c r="M10" s="9"/>
      <c r="N10" s="9"/>
      <c r="O10" s="9"/>
      <c r="P10" s="9"/>
      <c r="Q10" s="9"/>
      <c r="R10" s="9"/>
      <c r="S10" s="9"/>
      <c r="T10" s="9"/>
      <c r="U10" s="9"/>
      <c r="V10" s="9"/>
    </row>
    <row r="11" spans="1:1024">
      <c r="A11" s="141">
        <v>0.35</v>
      </c>
      <c r="B11" s="141">
        <v>0.4</v>
      </c>
      <c r="C11" s="142">
        <f t="shared" si="1"/>
        <v>0.375</v>
      </c>
      <c r="D11" s="62"/>
      <c r="E11" s="6">
        <v>144.11000000000001</v>
      </c>
      <c r="F11" s="6">
        <v>8</v>
      </c>
      <c r="G11" s="6">
        <f t="shared" si="2"/>
        <v>0.88301917566674004</v>
      </c>
      <c r="I11" s="9"/>
      <c r="J11" s="9"/>
      <c r="K11" s="9"/>
      <c r="L11" s="9"/>
      <c r="M11" s="9"/>
      <c r="N11" s="9"/>
      <c r="O11" s="9"/>
      <c r="P11" s="9"/>
      <c r="Q11" s="9"/>
      <c r="R11" s="9"/>
      <c r="S11" s="9"/>
      <c r="T11" s="9"/>
      <c r="U11" s="9"/>
      <c r="V11" s="9"/>
    </row>
    <row r="12" spans="1:1024">
      <c r="A12" s="141">
        <v>0.4</v>
      </c>
      <c r="B12" s="141">
        <v>0.42</v>
      </c>
      <c r="C12" s="142">
        <f t="shared" si="1"/>
        <v>0.41000000000000003</v>
      </c>
      <c r="D12" s="62"/>
      <c r="E12" s="6">
        <v>89.9</v>
      </c>
      <c r="F12" s="6">
        <v>5.58</v>
      </c>
      <c r="G12" s="6">
        <f t="shared" si="2"/>
        <v>0.88919117647058821</v>
      </c>
      <c r="H12" s="6" t="s">
        <v>309</v>
      </c>
      <c r="I12" s="9"/>
      <c r="J12" s="9"/>
      <c r="K12" s="9"/>
      <c r="L12" s="9"/>
      <c r="M12" s="9"/>
      <c r="N12" s="9"/>
      <c r="O12" s="9"/>
      <c r="P12" s="9"/>
      <c r="Q12" s="9"/>
      <c r="R12" s="9"/>
      <c r="S12" s="9"/>
      <c r="T12" s="9"/>
      <c r="U12" s="9"/>
      <c r="V12" s="9"/>
    </row>
    <row r="13" spans="1:1024">
      <c r="A13" s="141">
        <v>0.42</v>
      </c>
      <c r="B13" s="141">
        <v>0.48</v>
      </c>
      <c r="C13" s="142">
        <f t="shared" si="1"/>
        <v>0.44999999999999996</v>
      </c>
      <c r="D13" s="62"/>
      <c r="E13" s="6">
        <v>213.5</v>
      </c>
      <c r="F13" s="6">
        <v>9.6999999999999993</v>
      </c>
      <c r="G13" s="6">
        <f t="shared" si="2"/>
        <v>0.87369479882237477</v>
      </c>
      <c r="H13" s="6" t="s">
        <v>308</v>
      </c>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H15" s="9" t="s">
        <v>321</v>
      </c>
      <c r="I15" s="9"/>
      <c r="J15" s="9"/>
      <c r="K15" s="9"/>
      <c r="L15" s="9"/>
      <c r="M15" s="9"/>
      <c r="N15" s="9"/>
      <c r="O15" s="9"/>
      <c r="P15" s="9"/>
      <c r="Q15" s="9"/>
      <c r="R15" s="9"/>
      <c r="S15" s="9"/>
      <c r="T15" s="9"/>
      <c r="U15" s="9"/>
      <c r="V15" s="9"/>
    </row>
    <row r="16" spans="1:1024">
      <c r="A16" s="141"/>
      <c r="B16" s="141"/>
      <c r="C16" s="142"/>
      <c r="D16" s="62"/>
      <c r="H16" s="9" t="s">
        <v>304</v>
      </c>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0" t="s">
        <v>122</v>
      </c>
      <c r="G2" s="160"/>
      <c r="H2" s="160" t="s">
        <v>123</v>
      </c>
      <c r="I2" s="160"/>
      <c r="J2" s="161" t="s">
        <v>124</v>
      </c>
      <c r="K2" s="161"/>
      <c r="L2" s="160" t="s">
        <v>125</v>
      </c>
      <c r="M2" s="160"/>
      <c r="N2" s="161" t="s">
        <v>126</v>
      </c>
      <c r="O2" s="161"/>
      <c r="P2" s="163" t="s">
        <v>127</v>
      </c>
      <c r="Q2" s="163"/>
      <c r="R2" s="158" t="s">
        <v>128</v>
      </c>
      <c r="S2" s="158"/>
      <c r="T2" s="163" t="s">
        <v>129</v>
      </c>
      <c r="U2" s="163"/>
      <c r="V2" s="158" t="s">
        <v>130</v>
      </c>
      <c r="W2" s="158"/>
      <c r="X2" s="163" t="s">
        <v>131</v>
      </c>
      <c r="Y2" s="163"/>
      <c r="Z2" s="162" t="s">
        <v>132</v>
      </c>
      <c r="AA2" s="162"/>
      <c r="AB2" s="162" t="s">
        <v>133</v>
      </c>
      <c r="AC2" s="162"/>
      <c r="AD2" s="163" t="s">
        <v>134</v>
      </c>
      <c r="AE2" s="163"/>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0" t="s">
        <v>122</v>
      </c>
      <c r="S1" s="160"/>
      <c r="T1" s="9"/>
      <c r="U1" s="58" t="s">
        <v>85</v>
      </c>
      <c r="V1" s="58" t="s">
        <v>86</v>
      </c>
      <c r="W1" s="19"/>
      <c r="X1" s="9"/>
      <c r="Y1" s="164" t="s">
        <v>142</v>
      </c>
      <c r="Z1" s="164"/>
      <c r="AA1" s="164"/>
      <c r="AB1" s="9"/>
      <c r="AC1" s="165" t="s">
        <v>143</v>
      </c>
      <c r="AD1" s="165"/>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2026-02-17T16:50:59Z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