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1b\26jul2025coring\"/>
    </mc:Choice>
  </mc:AlternateContent>
  <xr:revisionPtr revIDLastSave="0" documentId="13_ncr:1_{8C2341DD-6773-485A-875B-E6031AD8A1EA}"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2" i="3" l="1"/>
  <c r="C11" i="3"/>
  <c r="C10" i="3"/>
  <c r="C9" i="3"/>
  <c r="C8" i="3"/>
  <c r="C7" i="3"/>
  <c r="C6" i="3"/>
  <c r="C5" i="3"/>
</calcChain>
</file>

<file path=xl/sharedStrings.xml><?xml version="1.0" encoding="utf-8"?>
<sst xmlns="http://schemas.openxmlformats.org/spreadsheetml/2006/main" count="675" uniqueCount="336">
  <si>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</si>
  <si>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</si>
  <si>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</si>
  <si>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</si>
  <si>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</si>
  <si>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</si>
  <si>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</si>
  <si>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</si>
  <si>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</si>
  <si>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</si>
  <si>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</si>
  <si>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</si>
  <si>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</si>
  <si>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</si>
  <si>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</si>
  <si>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</si>
  <si>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</si>
  <si>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</si>
  <si>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</si>
  <si>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</si>
  <si>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</si>
  <si>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</si>
  <si>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</si>
  <si>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</si>
  <si>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</si>
  <si>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</si>
  <si>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</si>
  <si>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</si>
  <si>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</si>
  <si>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</si>
  <si>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</si>
  <si>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</si>
  <si>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</si>
  <si>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</si>
  <si>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</si>
  <si>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</si>
  <si>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</si>
  <si>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</si>
  <si>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</si>
  <si>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</si>
  <si>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</si>
  <si>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</si>
  <si>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</si>
  <si>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</si>
  <si>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</si>
  <si>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</si>
  <si>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</si>
  <si>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</si>
  <si>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</si>
  <si>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</si>
  <si>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</si>
  <si>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</si>
  <si>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</si>
  <si>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</si>
  <si>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</si>
  <si>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</si>
  <si>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</si>
  <si>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</si>
  <si>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</si>
  <si>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</si>
  <si>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</si>
  <si>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</si>
  <si>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</si>
  <si>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</si>
  <si>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</si>
  <si>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</si>
  <si>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</si>
  <si>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</si>
  <si>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</si>
  <si>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</si>
  <si>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</si>
  <si>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</si>
  <si>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</si>
  <si>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</si>
  <si>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</si>
  <si>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</si>
  <si>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</si>
  <si>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</si>
  <si>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</si>
  <si>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</si>
  <si>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</si>
  <si>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</si>
  <si>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</si>
  <si>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</si>
  <si>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</si>
  <si>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</si>
  <si>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</si>
  <si>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</si>
  <si>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</si>
  <si>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</si>
  <si>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</si>
  <si>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</si>
  <si>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</si>
  <si>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</si>
  <si>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</si>
  <si>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</si>
  <si>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</si>
  <si>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</si>
  <si>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</si>
  <si>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</si>
  <si>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</si>
  <si>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</si>
  <si>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</si>
  <si>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</si>
  <si>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</si>
  <si>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</si>
  <si>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</si>
  <si>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</si>
  <si>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</si>
  <si>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</si>
  <si>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</si>
  <si>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</si>
  <si>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</si>
  <si>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</si>
  <si>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</si>
  <si>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</si>
  <si>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</si>
  <si>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</si>
  <si>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</si>
  <si>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</si>
  <si>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</si>
  <si>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</si>
  <si>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</si>
  <si>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</si>
  <si>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</si>
  <si>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</si>
  <si>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</si>
  <si>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</si>
  <si>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</si>
  <si>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</si>
  <si>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</si>
  <si>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</si>
  <si>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</si>
  <si>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</si>
  <si>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</si>
  <si>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</si>
  <si>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</si>
  <si>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</si>
  <si>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</si>
  <si>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</si>
  <si>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</si>
  <si>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</si>
  <si>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</si>
  <si>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</si>
  <si>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</si>
  <si>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</si>
  <si>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</si>
  <si>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</si>
  <si>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</si>
  <si>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</si>
  <si>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</si>
  <si>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</si>
  <si>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</si>
  <si>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</si>
  <si>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</si>
  <si>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</si>
  <si>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</si>
  <si>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</si>
  <si>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</si>
  <si>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</si>
  <si>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</si>
  <si>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</si>
  <si>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</si>
  <si>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</si>
  <si>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</si>
  <si>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</si>
  <si>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</si>
  <si>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</si>
  <si>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</si>
  <si>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</si>
  <si>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</si>
  <si>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</si>
  <si>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</si>
  <si>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</si>
  <si>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</si>
  <si>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</si>
  <si>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</si>
  <si>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</si>
  <si>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</si>
  <si>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</si>
  <si>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</si>
  <si>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</si>
  <si>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</si>
  <si>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</si>
  <si>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</si>
  <si>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</si>
  <si>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</si>
  <si>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</si>
  <si>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</si>
  <si>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</si>
  <si>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</si>
  <si>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</si>
  <si>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</si>
  <si>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</si>
  <si>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</si>
  <si>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</si>
  <si>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</si>
  <si>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</si>
  <si>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</si>
  <si>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</si>
  <si>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</si>
  <si>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</si>
  <si>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</si>
  <si>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</si>
  <si>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</si>
  <si>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</si>
  <si>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</si>
  <si>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</si>
  <si>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</si>
  <si>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</si>
  <si>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</si>
  <si>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</si>
  <si>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</si>
  <si>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</si>
  <si>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</si>
  <si>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</si>
  <si>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</si>
  <si>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</si>
  <si>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</si>
  <si>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</si>
  <si>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</si>
  <si>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</si>
  <si>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</si>
  <si>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</si>
  <si>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</si>
  <si>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</si>
  <si>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</si>
  <si>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</si>
  <si>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</si>
  <si>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</si>
  <si>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</si>
  <si>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</si>
  <si>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</si>
  <si>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</si>
  <si>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</si>
  <si>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</si>
  <si>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</si>
  <si>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</si>
  <si>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</si>
  <si>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</si>
  <si>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</si>
  <si>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</si>
  <si>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</si>
  <si>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</si>
  <si>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</si>
  <si>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</si>
  <si>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</si>
  <si>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</si>
  <si>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</si>
  <si>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</si>
  <si>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</si>
  <si>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</si>
  <si>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</si>
  <si>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</si>
  <si>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</si>
  <si>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</si>
  <si>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</si>
  <si>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</si>
  <si>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</si>
  <si>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</si>
  <si>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</si>
  <si>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</si>
  <si>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</si>
  <si>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</si>
  <si>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</si>
  <si>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</si>
  <si>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</si>
  <si>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</si>
  <si>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</si>
  <si>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</si>
  <si>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</si>
  <si>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</si>
  <si>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</si>
  <si>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</si>
  <si>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</si>
  <si>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</si>
  <si>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</si>
  <si>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</si>
  <si>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</si>
  <si>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</si>
  <si>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</si>
  <si>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</si>
  <si>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</si>
  <si>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</si>
  <si>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</si>
  <si>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</si>
  <si>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</si>
  <si>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</si>
  <si>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</si>
  <si>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</si>
  <si>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</si>
  <si>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</si>
  <si>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</si>
  <si>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</si>
  <si>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</si>
  <si>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</si>
  <si>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</si>
  <si>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</si>
  <si>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</si>
  <si>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</si>
  <si>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</si>
  <si>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</si>
  <si>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</si>
  <si>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PS149-1b</t>
  </si>
  <si>
    <t>David Clemens-Seewal</t>
  </si>
  <si>
    <t>Lena Eggers and ECO group</t>
  </si>
  <si>
    <t>Keigo Takahashi</t>
  </si>
  <si>
    <t>end mark 332 (also lead site)</t>
  </si>
  <si>
    <t>corehole</t>
  </si>
  <si>
    <t>20250726-PS149_21-1-SI_corer_9cm-016-FYI-lead-T</t>
  </si>
  <si>
    <t>start mark 332</t>
  </si>
  <si>
    <t>20250726-PS149_21-1-SI_corer_9cm-018-FYI-lead-SALO18</t>
  </si>
  <si>
    <t>20250726-PS149_21-1-SI_corer_9cm-019-FYI-lead-RHO</t>
  </si>
  <si>
    <t xml:space="preserve">FYI ice Station 1b (event 21-1), coring of lead ice of the former refrozen lead, some 10 m away of the main coring site (see pictures of the coring locations). The older coring site had to be moved to another location since previous coring site became inaccessible. The patch of the lead ice that was now cored is similar to the ice of the main coring site that was cored on 10.07.2025 (see folders for Station 1 a, coring on 10.07.2025). The cores were 20250710-PS149_13-1-SI_corer_9cm-019-FYI-T, 20250710-PS149_13-1-SI_corer_9cm-018-FYI-SALO18, 20250710-PS149_13-1-SI_corer_9cm-017-FYI-RHO  and 20250710-PS149_13-1-SI_corer_9cm-016-FYI-REP.   Ice is in an advanced stage of melt, quite soft, full of melt voids and channels. </t>
  </si>
  <si>
    <t>core for Temperature, cut for salinity as  20250726-PS149_21-1-SI_corer_9cm-016-FYI-lead-SALO18. The core was packed on the ice and brought to the freezer lab onboard for cutting. Core was processed within some 2 hours from recovery, was not yet at the -20 ambient temperature of the freezer lab. Some brine leacked from ice slab rigjht after recovery and during transportation/processing. Photos of the core were taken in the lab</t>
  </si>
  <si>
    <t>photos of the core taken in the lab</t>
  </si>
  <si>
    <t>Z09</t>
  </si>
  <si>
    <t>Z10</t>
  </si>
  <si>
    <t>Z15</t>
  </si>
  <si>
    <t>Z11</t>
  </si>
  <si>
    <t>Z12</t>
  </si>
  <si>
    <t>Z13</t>
  </si>
  <si>
    <t>Z14</t>
  </si>
  <si>
    <t>Z16</t>
  </si>
  <si>
    <t>see 20250726-PS149_21-1-SI_corer_9cm-020-FYI-lead-T for details</t>
  </si>
  <si>
    <t>FYI lead ice coring site</t>
  </si>
  <si>
    <t>PS149-DO18-103</t>
  </si>
  <si>
    <t>PS149-DO18-104</t>
  </si>
  <si>
    <t>PS149-DO18-107</t>
  </si>
  <si>
    <t>PS149-DO18-108</t>
  </si>
  <si>
    <t>PS149-DO18-105</t>
  </si>
  <si>
    <t>PS149-DO18-106</t>
  </si>
  <si>
    <t>PS149-DO18-110</t>
  </si>
  <si>
    <t>PS149-DO18-111</t>
  </si>
  <si>
    <t>DO18 sample numbering correct (mistakenly skiped a sample from another core for this station)</t>
  </si>
  <si>
    <t>20250726-PS149_21-1-SI_corer_9cm-021-FYI-lead-SALO18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</si>
</sst>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lead ice Station 1b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SALO18!$C$5:$C$12</c:f>
              <c:numCache>
                <c:formatCode>0.00</c:formatCode>
                <c:ptCount val="8"/>
                <c:pt idx="0">
                  <c:v>2.5000000000000001E-2</c:v>
                </c:pt>
                <c:pt idx="1">
                  <c:v>7.5000000000000011E-2</c:v>
                </c:pt>
                <c:pt idx="2">
                  <c:v>0.125</c:v>
                </c:pt>
                <c:pt idx="3">
                  <c:v>0.17499999999999999</c:v>
                </c:pt>
                <c:pt idx="4">
                  <c:v>0.22500000000000001</c:v>
                </c:pt>
                <c:pt idx="5">
                  <c:v>0.27500000000000002</c:v>
                </c:pt>
                <c:pt idx="6">
                  <c:v>0.32499999999999996</c:v>
                </c:pt>
                <c:pt idx="7">
                  <c:v>0.375</c:v>
                </c:pt>
              </c:numCache>
            </c:numRef>
          </c:xVal>
          <c:yVal>
            <c:numRef>
              <c:f>SALO18!$E$5:$E$12</c:f>
              <c:numCache>
                <c:formatCode>General</c:formatCode>
                <c:ptCount val="8"/>
                <c:pt idx="0">
                  <c:v>1.3</c:v>
                </c:pt>
                <c:pt idx="1">
                  <c:v>1.4</c:v>
                </c:pt>
                <c:pt idx="2">
                  <c:v>1.7</c:v>
                </c:pt>
                <c:pt idx="3">
                  <c:v>2.1</c:v>
                </c:pt>
                <c:pt idx="4">
                  <c:v>2.7</c:v>
                </c:pt>
                <c:pt idx="5">
                  <c:v>2.8</c:v>
                </c:pt>
                <c:pt idx="6">
                  <c:v>3</c:v>
                </c:pt>
                <c:pt idx="7">
                  <c:v>2.9</c:v>
                </c:pt>
              </c:numCache>
            </c:numRef>
          </c:yVal>
          <c:smooth val="1"/>
          <c:extLst>
            <c:ext xmlns:c16="http://schemas.microsoft.com/office/drawing/2014/chart" uri="{C3380CC4-5D6E-409C-BE32-E72D297353CC}">
              <c16:uniqueId val="{00000000-A747-456E-8B4C-3AA08F8531A5}"/>
            </c:ext>
          </c:extLst>
        </c:ser>
        <c:dLbls>
          <c:showLegendKey val="0"/>
          <c:showVal val="0"/>
          <c:showCatName val="0"/>
          <c:showSerName val="0"/>
          <c:showPercent val="0"/>
          <c:showBubbleSize val="0"/>
        </c:dLbls>
        <c:axId val="1486663279"/>
        <c:axId val="1486648399"/>
      </c:scatterChart>
      <c:valAx>
        <c:axId val="14866632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48399"/>
        <c:crosses val="autoZero"/>
        <c:crossBetween val="midCat"/>
      </c:valAx>
      <c:valAx>
        <c:axId val="148664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4866632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340659</xdr:colOff>
      <xdr:row>12</xdr:row>
      <xdr:rowOff>152400</xdr:rowOff>
    </xdr:from>
    <xdr:to>
      <xdr:col>13</xdr:col>
      <xdr:colOff>636494</xdr:colOff>
      <xdr:row>27</xdr:row>
      <xdr:rowOff>53788</xdr:rowOff>
    </xdr:to>
    <xdr:graphicFrame macro="">
      <xdr:nvGraphicFramePr>
        <xdr:cNvPr id="2" name="Chart 1">
          <a:extLst>
            <a:ext uri="{FF2B5EF4-FFF2-40B4-BE49-F238E27FC236}">
              <a16:creationId xmlns:a16="http://schemas.microsoft.com/office/drawing/2014/main" id="{E1AB9F80-A995-E90F-F7B2-1CBD5890A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tabSelected="1" zoomScale="85" zoomScaleNormal="85" workbookViewId="0">
      <selection activeCell="G18" sqref="G18"/>
    </sheetView>
  </sheetViews>
  <sheetFormatPr defaultColWidth="13.625" defaultRowHeight="13.8"/>
  <cols>
    <col min="1" max="2" width="13.625" style="6"/>
    <col min="3" max="3" width="14.625" style="6" bestFit="1" customWidth="1"/>
    <col min="4" max="1025" width="13.625" style="6"/>
  </cols>
  <sheetData>
    <row r="1" spans="1:6">
      <c r="A1" s="7" t="s">
        <v>0</v>
      </c>
      <c r="B1" s="8" t="s">
        <v>1</v>
      </c>
      <c r="C1" s="144" t="s">
        <v>335</v>
      </c>
      <c r="D1" s="144"/>
      <c r="E1" s="144"/>
      <c r="F1" s="9"/>
    </row>
    <row r="2" spans="1:6" ht="14.4">
      <c r="A2" s="7" t="s">
        <v>2</v>
      </c>
      <c r="B2" s="8"/>
      <c r="C2" s="10">
        <v>45864</v>
      </c>
      <c r="D2" s="11" t="s">
        <v>3</v>
      </c>
      <c r="E2" s="9"/>
      <c r="F2" s="9"/>
    </row>
    <row r="3" spans="1:6" ht="14.4">
      <c r="A3" s="7" t="s">
        <v>4</v>
      </c>
      <c r="B3" s="8"/>
      <c r="C3" s="12">
        <v>0.45</v>
      </c>
      <c r="D3" s="11" t="s">
        <v>3</v>
      </c>
      <c r="E3" s="9"/>
      <c r="F3" s="9"/>
    </row>
    <row r="4" spans="1:6">
      <c r="A4" s="13" t="s">
        <v>5</v>
      </c>
      <c r="B4" s="14" t="s">
        <v>1</v>
      </c>
      <c r="C4" s="144" t="s">
        <v>314</v>
      </c>
      <c r="D4" s="144"/>
      <c r="E4" s="144"/>
      <c r="F4" s="9"/>
    </row>
    <row r="5" spans="1:6">
      <c r="A5" s="9"/>
      <c r="B5" s="9"/>
      <c r="C5" s="9"/>
      <c r="D5" s="9"/>
      <c r="E5" s="9"/>
      <c r="F5" s="9"/>
    </row>
    <row r="6" spans="1:6">
      <c r="A6" s="15" t="s">
        <v>6</v>
      </c>
      <c r="B6" s="9"/>
      <c r="C6" s="9"/>
      <c r="D6" s="9"/>
      <c r="E6" s="9"/>
      <c r="F6" s="9"/>
    </row>
    <row r="7" spans="1:6" ht="14.4">
      <c r="A7" s="7" t="s">
        <v>7</v>
      </c>
      <c r="B7" s="8" t="s">
        <v>8</v>
      </c>
      <c r="C7" s="16">
        <v>0.32</v>
      </c>
      <c r="D7" s="17" t="s">
        <v>9</v>
      </c>
      <c r="E7" s="9"/>
      <c r="F7" s="9"/>
    </row>
    <row r="8" spans="1:6" ht="14.4">
      <c r="A8" s="7" t="s">
        <v>10</v>
      </c>
      <c r="B8" s="8" t="s">
        <v>8</v>
      </c>
      <c r="C8" s="16">
        <v>0.32</v>
      </c>
      <c r="D8" s="17" t="s">
        <v>9</v>
      </c>
      <c r="E8" s="9"/>
      <c r="F8" s="9"/>
    </row>
    <row r="9" spans="1:6">
      <c r="A9" s="7" t="s">
        <v>11</v>
      </c>
      <c r="B9" s="8" t="s">
        <v>8</v>
      </c>
      <c r="C9" s="18"/>
      <c r="D9" s="9"/>
      <c r="E9" s="9"/>
      <c r="F9" s="9"/>
    </row>
    <row r="10" spans="1:6">
      <c r="A10" s="7" t="s">
        <v>12</v>
      </c>
      <c r="B10" s="8" t="s">
        <v>8</v>
      </c>
      <c r="C10" s="16">
        <v>0.4</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4" t="s">
        <v>299</v>
      </c>
      <c r="D13" s="144"/>
      <c r="E13" s="144"/>
      <c r="F13" s="144"/>
    </row>
    <row r="14" spans="1:6">
      <c r="B14" s="6" t="s">
        <v>301</v>
      </c>
      <c r="C14" s="6" t="s">
        <v>302</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K11" sqref="K11"/>
    </sheetView>
  </sheetViews>
  <sheetFormatPr defaultColWidth="8.875" defaultRowHeight="11.4"/>
  <cols>
    <col min="1" max="1" width="21.375" customWidth="1"/>
    <col min="2" max="2" width="12.125" customWidth="1"/>
    <col min="3" max="5" width="12.625" customWidth="1"/>
    <col min="6" max="6" width="12"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297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325</v>
      </c>
      <c r="D4" s="151"/>
      <c r="E4" s="151"/>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82.627529999999993</v>
      </c>
      <c r="D8" s="30"/>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26.741395000000001</v>
      </c>
      <c r="D9" s="34"/>
      <c r="E9" s="35"/>
      <c r="F9">
        <v>26.741395000000001</v>
      </c>
      <c r="G9" s="34"/>
      <c r="I9" s="22" t="s">
        <v>310</v>
      </c>
      <c r="J9" s="22" t="s">
        <v>307</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0.45</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0.04</v>
      </c>
      <c r="E16">
        <v>0.06</v>
      </c>
      <c r="F16">
        <v>0.05</v>
      </c>
      <c r="G16">
        <v>0.04</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-0.3</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-1.6</v>
      </c>
      <c r="G28" s="22" t="s">
        <v>308</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303</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309</v>
      </c>
      <c r="D31" s="52"/>
      <c r="E31" s="52" t="s">
        <v>311</v>
      </c>
      <c r="F31" s="52" t="s">
        <v>312</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304</v>
      </c>
      <c r="F32" t="s">
        <v>306</v>
      </c>
      <c r="G32" t="s">
        <v>305</v>
      </c>
      <c r="H32" s="22"/>
      <c r="I32" s="22"/>
      <c r="J32" s="22"/>
      <c r="K32" s="22"/>
      <c r="L32" s="22"/>
      <c r="M32" s="22"/>
      <c r="N32" s="22"/>
      <c r="O32" s="22"/>
      <c r="P32" s="22"/>
      <c r="Q32" s="22"/>
      <c r="R32" s="22"/>
      <c r="S32" s="22"/>
      <c r="T32" s="22"/>
      <c r="U32" s="22"/>
      <c r="V32" s="22"/>
      <c r="W32" s="22"/>
      <c r="X32" s="22"/>
      <c r="Y32" s="22"/>
    </row>
    <row r="33" spans="1:25" ht="12">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313</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F23" sqref="F23"/>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316</v>
      </c>
      <c r="E5" s="62">
        <v>1.3</v>
      </c>
      <c r="F5" s="6">
        <v>2.57</v>
      </c>
      <c r="G5" s="6">
        <v>19.600000000000001</v>
      </c>
      <c r="I5" s="6" t="s">
        <v>326</v>
      </c>
      <c r="K5" s="6" t="s">
        <v>326</v>
      </c>
      <c r="N5" s="6" t="s">
        <v>315</v>
      </c>
      <c r="O5" s="9"/>
      <c r="P5" s="9"/>
      <c r="Q5" s="9"/>
      <c r="R5" s="9"/>
      <c r="S5" s="9"/>
      <c r="T5" s="9"/>
      <c r="U5" s="9"/>
      <c r="V5" s="9"/>
      <c r="W5" s="9"/>
      <c r="X5" s="9"/>
      <c r="Y5" s="9"/>
      <c r="Z5" s="9"/>
      <c r="AA5" s="9"/>
      <c r="AB5" s="9"/>
    </row>
    <row r="6" spans="1:1024">
      <c r="A6" s="141">
        <v>0.05</v>
      </c>
      <c r="B6" s="142">
        <v>0.1</v>
      </c>
      <c r="C6" s="142">
        <f t="shared" ref="C6:C12" si="0">AVERAGE(A6:B6)</f>
        <v>7.5000000000000011E-2</v>
      </c>
      <c r="D6" s="6" t="s">
        <v>317</v>
      </c>
      <c r="E6" s="62">
        <v>1.4</v>
      </c>
      <c r="F6" s="6">
        <v>2.74</v>
      </c>
      <c r="G6" s="6">
        <v>20</v>
      </c>
      <c r="I6" s="6" t="s">
        <v>327</v>
      </c>
      <c r="K6" s="6" t="s">
        <v>327</v>
      </c>
      <c r="O6" s="9"/>
      <c r="P6" s="9"/>
      <c r="Q6" s="9"/>
      <c r="R6" s="9"/>
      <c r="S6" s="9"/>
      <c r="T6" s="9"/>
      <c r="U6" s="9"/>
      <c r="V6" s="9"/>
      <c r="W6" s="9"/>
      <c r="X6" s="9"/>
      <c r="Y6" s="9"/>
      <c r="Z6" s="9"/>
      <c r="AA6" s="9"/>
      <c r="AB6" s="9"/>
    </row>
    <row r="7" spans="1:1024">
      <c r="A7" s="141">
        <v>0.1</v>
      </c>
      <c r="B7" s="141">
        <v>0.15</v>
      </c>
      <c r="C7" s="142">
        <f t="shared" si="0"/>
        <v>0.125</v>
      </c>
      <c r="D7" s="6" t="s">
        <v>319</v>
      </c>
      <c r="E7" s="62">
        <v>1.7</v>
      </c>
      <c r="F7" s="6">
        <v>3.35</v>
      </c>
      <c r="G7" s="6">
        <v>18.7</v>
      </c>
      <c r="I7" s="6" t="s">
        <v>330</v>
      </c>
      <c r="K7" s="6" t="s">
        <v>330</v>
      </c>
      <c r="O7" s="9"/>
      <c r="P7" s="9"/>
      <c r="Q7" s="9"/>
      <c r="R7" s="9"/>
      <c r="S7" s="9"/>
      <c r="T7" s="9"/>
      <c r="U7" s="9"/>
      <c r="V7" s="9"/>
      <c r="W7" s="9"/>
      <c r="X7" s="9"/>
      <c r="Y7" s="9"/>
      <c r="Z7" s="9"/>
      <c r="AA7" s="9"/>
      <c r="AB7" s="9"/>
    </row>
    <row r="8" spans="1:1024">
      <c r="A8" s="141">
        <v>0.15</v>
      </c>
      <c r="B8" s="142">
        <v>0.2</v>
      </c>
      <c r="C8" s="142">
        <f t="shared" si="0"/>
        <v>0.17499999999999999</v>
      </c>
      <c r="D8" s="6" t="s">
        <v>320</v>
      </c>
      <c r="E8" s="62">
        <v>2.1</v>
      </c>
      <c r="F8" s="6">
        <v>3.98</v>
      </c>
      <c r="G8" s="6">
        <v>19</v>
      </c>
      <c r="I8" s="6" t="s">
        <v>331</v>
      </c>
      <c r="K8" s="6" t="s">
        <v>331</v>
      </c>
      <c r="O8" s="9"/>
      <c r="P8" s="9"/>
      <c r="Q8" s="9"/>
      <c r="R8" s="9"/>
      <c r="S8" s="9"/>
      <c r="T8" s="9"/>
      <c r="U8" s="9"/>
      <c r="V8" s="9"/>
      <c r="W8" s="9"/>
      <c r="X8" s="9"/>
      <c r="Y8" s="9"/>
      <c r="Z8" s="9"/>
      <c r="AA8" s="9"/>
      <c r="AB8" s="9"/>
    </row>
    <row r="9" spans="1:1024">
      <c r="A9" s="141">
        <v>0.2</v>
      </c>
      <c r="B9" s="141">
        <v>0.25</v>
      </c>
      <c r="C9" s="142">
        <f t="shared" si="0"/>
        <v>0.22500000000000001</v>
      </c>
      <c r="D9" s="6" t="s">
        <v>321</v>
      </c>
      <c r="E9" s="62">
        <v>2.7</v>
      </c>
      <c r="F9" s="6">
        <v>5.08</v>
      </c>
      <c r="G9" s="6">
        <v>19.5</v>
      </c>
      <c r="I9" s="6" t="s">
        <v>328</v>
      </c>
      <c r="K9" s="6" t="s">
        <v>328</v>
      </c>
      <c r="O9" s="9"/>
      <c r="P9" s="9"/>
      <c r="Q9" s="9"/>
      <c r="R9" s="9"/>
      <c r="S9" s="9"/>
      <c r="T9" s="9"/>
      <c r="U9" s="9"/>
      <c r="V9" s="9"/>
      <c r="W9" s="9"/>
      <c r="X9" s="9"/>
      <c r="Y9" s="9"/>
      <c r="Z9" s="9"/>
      <c r="AA9" s="9"/>
      <c r="AB9" s="9"/>
    </row>
    <row r="10" spans="1:1024">
      <c r="A10" s="141">
        <v>0.25</v>
      </c>
      <c r="B10" s="142">
        <v>0.3</v>
      </c>
      <c r="C10" s="142">
        <f t="shared" si="0"/>
        <v>0.27500000000000002</v>
      </c>
      <c r="D10" s="6" t="s">
        <v>322</v>
      </c>
      <c r="E10" s="62">
        <v>2.8</v>
      </c>
      <c r="F10" s="6">
        <v>5.3</v>
      </c>
      <c r="G10" s="6">
        <v>19.2</v>
      </c>
      <c r="I10" s="6" t="s">
        <v>329</v>
      </c>
      <c r="K10" s="6" t="s">
        <v>329</v>
      </c>
      <c r="O10" s="9"/>
      <c r="P10" s="9"/>
      <c r="Q10" s="9"/>
      <c r="R10" s="9"/>
      <c r="S10" s="9"/>
      <c r="T10" s="9"/>
      <c r="U10" s="9"/>
      <c r="V10" s="9"/>
      <c r="W10" s="9"/>
      <c r="X10" s="9"/>
      <c r="Y10" s="9"/>
      <c r="Z10" s="9"/>
      <c r="AA10" s="9"/>
      <c r="AB10" s="9"/>
    </row>
    <row r="11" spans="1:1024">
      <c r="A11" s="141">
        <v>0.3</v>
      </c>
      <c r="B11" s="141">
        <v>0.35</v>
      </c>
      <c r="C11" s="142">
        <f t="shared" si="0"/>
        <v>0.32499999999999996</v>
      </c>
      <c r="D11" s="6" t="s">
        <v>318</v>
      </c>
      <c r="E11" s="62">
        <v>3</v>
      </c>
      <c r="F11" s="6">
        <v>5.65</v>
      </c>
      <c r="G11" s="6">
        <v>17.399999999999999</v>
      </c>
      <c r="I11" s="6" t="s">
        <v>332</v>
      </c>
      <c r="K11" s="6" t="s">
        <v>332</v>
      </c>
      <c r="N11" s="6" t="s">
        <v>334</v>
      </c>
      <c r="O11" s="9"/>
      <c r="P11" s="9"/>
      <c r="Q11" s="9"/>
      <c r="R11" s="9"/>
      <c r="S11" s="9"/>
      <c r="T11" s="9"/>
      <c r="U11" s="9"/>
      <c r="V11" s="9"/>
      <c r="W11" s="9"/>
      <c r="X11" s="9"/>
      <c r="Y11" s="9"/>
      <c r="Z11" s="9"/>
      <c r="AA11" s="9"/>
      <c r="AB11" s="9"/>
    </row>
    <row r="12" spans="1:1024">
      <c r="A12" s="141">
        <v>0.35</v>
      </c>
      <c r="B12" s="142">
        <v>0.4</v>
      </c>
      <c r="C12" s="142">
        <f t="shared" si="0"/>
        <v>0.375</v>
      </c>
      <c r="D12" s="6" t="s">
        <v>323</v>
      </c>
      <c r="E12" s="62">
        <v>2.9</v>
      </c>
      <c r="F12" s="6">
        <v>5.36</v>
      </c>
      <c r="G12" s="6">
        <v>17.899999999999999</v>
      </c>
      <c r="I12" s="6" t="s">
        <v>333</v>
      </c>
      <c r="K12" s="6" t="s">
        <v>333</v>
      </c>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disablePrompts="1"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0" sqref="C10:E10"/>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6">
      <c r="A4" s="70">
        <v>0</v>
      </c>
      <c r="B4" s="70">
        <v>0</v>
      </c>
      <c r="C4" s="154"/>
      <c r="D4" s="154"/>
      <c r="E4" s="154"/>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-0.4</v>
      </c>
      <c r="C5" s="154"/>
      <c r="D5" s="154"/>
      <c r="E5" s="154"/>
      <c r="F5" s="22"/>
      <c r="G5" s="22"/>
      <c r="H5" s="22"/>
      <c r="I5" s="22"/>
      <c r="J5" s="22"/>
      <c r="K5" s="22"/>
      <c r="L5" s="22"/>
      <c r="M5" s="22"/>
      <c r="N5" s="22"/>
      <c r="O5" s="22"/>
      <c r="P5" s="22"/>
      <c r="Q5" s="22"/>
      <c r="R5" s="22"/>
      <c r="S5" s="22"/>
      <c r="T5" s="22"/>
      <c r="U5" s="22"/>
      <c r="V5" s="22"/>
      <c r="W5" s="22"/>
      <c r="X5" s="22"/>
      <c r="Y5" s="22"/>
      <c r="Z5" s="22"/>
    </row>
    <row r="6" spans="1:26" ht="15.6">
      <c r="A6" s="70">
        <v>0.1</v>
      </c>
      <c r="B6" s="70">
        <v>-0.3</v>
      </c>
      <c r="C6" s="154"/>
      <c r="D6" s="154"/>
      <c r="E6" s="154"/>
      <c r="F6" s="22"/>
      <c r="G6" s="22"/>
      <c r="H6" s="22"/>
      <c r="I6" s="22"/>
      <c r="J6" s="22"/>
      <c r="K6" s="22"/>
      <c r="L6" s="22"/>
      <c r="M6" s="22"/>
      <c r="N6" s="22"/>
      <c r="O6" s="22"/>
      <c r="P6" s="22"/>
      <c r="Q6" s="22"/>
      <c r="R6" s="22"/>
      <c r="S6" s="22"/>
      <c r="T6" s="22"/>
      <c r="U6" s="22"/>
      <c r="V6" s="22"/>
      <c r="W6" s="22"/>
      <c r="X6" s="22"/>
      <c r="Y6" s="22"/>
      <c r="Z6" s="22"/>
    </row>
    <row r="7" spans="1:26" ht="15.6">
      <c r="A7" s="70">
        <v>0.2</v>
      </c>
      <c r="B7" s="70">
        <v>-0.7</v>
      </c>
      <c r="C7" s="154"/>
      <c r="D7" s="154"/>
      <c r="E7" s="154"/>
      <c r="F7" s="22"/>
      <c r="G7" s="22"/>
      <c r="H7" s="22"/>
      <c r="I7" s="22"/>
      <c r="J7" s="22"/>
      <c r="K7" s="22"/>
      <c r="L7" s="22"/>
      <c r="M7" s="22"/>
      <c r="N7" s="22"/>
      <c r="O7" s="22"/>
      <c r="P7" s="22"/>
      <c r="Q7" s="22"/>
      <c r="R7" s="22"/>
      <c r="S7" s="22"/>
      <c r="T7" s="22"/>
      <c r="U7" s="22"/>
      <c r="V7" s="22"/>
      <c r="W7" s="22"/>
      <c r="X7" s="22"/>
      <c r="Y7" s="22"/>
      <c r="Z7" s="22"/>
    </row>
    <row r="8" spans="1:26" ht="15.6">
      <c r="A8" s="70">
        <v>0.3</v>
      </c>
      <c r="B8" s="70">
        <v>-1.1000000000000001</v>
      </c>
      <c r="C8" s="154"/>
      <c r="D8" s="154"/>
      <c r="E8" s="154"/>
      <c r="F8" s="22"/>
      <c r="G8" s="22"/>
      <c r="H8" s="22"/>
      <c r="I8" s="22"/>
      <c r="J8" s="22"/>
      <c r="K8" s="22"/>
      <c r="L8" s="22"/>
      <c r="M8" s="22"/>
      <c r="N8" s="22"/>
      <c r="O8" s="22"/>
      <c r="P8" s="22"/>
      <c r="Q8" s="22"/>
      <c r="R8" s="22"/>
      <c r="S8" s="22"/>
      <c r="T8" s="22"/>
      <c r="U8" s="22"/>
      <c r="V8" s="22"/>
      <c r="W8" s="22"/>
      <c r="X8" s="22"/>
      <c r="Y8" s="22"/>
      <c r="Z8" s="22"/>
    </row>
    <row r="9" spans="1:26" ht="15.6">
      <c r="A9" s="70">
        <v>0.375</v>
      </c>
      <c r="B9" s="70">
        <v>-1.1000000000000001</v>
      </c>
      <c r="C9" s="154"/>
      <c r="D9" s="154"/>
      <c r="E9" s="154"/>
      <c r="F9" s="22"/>
      <c r="G9" s="22"/>
      <c r="H9" s="22"/>
      <c r="I9" s="22"/>
      <c r="J9" s="22"/>
      <c r="K9" s="22"/>
      <c r="L9" s="22"/>
      <c r="M9" s="22"/>
      <c r="N9" s="22"/>
      <c r="O9" s="22"/>
      <c r="P9" s="22"/>
      <c r="Q9" s="22"/>
      <c r="R9" s="22"/>
      <c r="S9" s="22"/>
      <c r="T9" s="22"/>
      <c r="U9" s="22"/>
      <c r="V9" s="22"/>
      <c r="W9" s="22"/>
      <c r="X9" s="22"/>
      <c r="Y9" s="22"/>
      <c r="Z9" s="22"/>
    </row>
    <row r="10" spans="1:26" ht="15.6">
      <c r="A10" s="70">
        <v>0.4</v>
      </c>
      <c r="B10" s="70">
        <v>-1.1000000000000001</v>
      </c>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6">
      <c r="A11" s="70"/>
      <c r="B11" s="70"/>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6">
      <c r="A12" s="70"/>
      <c r="B12" s="70"/>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4" sqref="F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c r="D4" s="157"/>
      <c r="E4" s="157"/>
      <c r="F4" s="6" t="s">
        <v>324</v>
      </c>
      <c r="G4" s="9"/>
      <c r="H4" s="9"/>
      <c r="I4" s="9"/>
      <c r="J4" s="9"/>
      <c r="K4" s="9"/>
      <c r="L4" s="9"/>
      <c r="M4" s="9"/>
      <c r="N4" s="9"/>
      <c r="O4" s="9"/>
      <c r="P4" s="9"/>
      <c r="Q4" s="9"/>
      <c r="R4" s="9"/>
      <c r="S4" s="9"/>
      <c r="T4" s="9"/>
      <c r="U4" s="9"/>
      <c r="V4" s="9"/>
      <c r="W4" s="9"/>
      <c r="X4" s="9"/>
      <c r="Y4" s="9"/>
      <c r="Z4" s="9"/>
    </row>
    <row r="5" spans="1:26">
      <c r="D5" s="157"/>
      <c r="E5" s="157"/>
      <c r="G5" s="9"/>
      <c r="H5" s="9"/>
      <c r="I5" s="9"/>
      <c r="J5" s="9"/>
      <c r="K5" s="9"/>
      <c r="L5" s="9"/>
      <c r="M5" s="9"/>
      <c r="N5" s="9"/>
      <c r="O5" s="9"/>
      <c r="P5" s="9"/>
      <c r="Q5" s="9"/>
      <c r="R5" s="9"/>
      <c r="S5" s="9"/>
      <c r="T5" s="9"/>
      <c r="U5" s="9"/>
      <c r="V5" s="9"/>
      <c r="W5" s="9"/>
      <c r="X5" s="9"/>
      <c r="Y5" s="9"/>
      <c r="Z5" s="9"/>
    </row>
    <row r="6" spans="1:26">
      <c r="D6" s="157"/>
      <c r="E6" s="157"/>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6:E6"/>
    <mergeCell ref="D2:E2"/>
    <mergeCell ref="D3:E3"/>
    <mergeCell ref="D4:E4"/>
    <mergeCell ref="D5:E5"/>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2025-07-28T11:09:11Z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