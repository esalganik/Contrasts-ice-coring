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b\31jul2025coring_melt_ponds\"/>
    </mc:Choice>
  </mc:AlternateContent>
  <xr:revisionPtr revIDLastSave="0" documentId="13_ncr:1_{EC19E501-A2D2-4750-8123-D733A8770FD1}" xr6:coauthVersionLast="47" xr6:coauthVersionMax="47" xr10:uidLastSave="{00000000-0000-0000-0000-000000000000}"/>
  <bookViews>
    <workbookView xWindow="-108" yWindow="-108" windowWidth="23256" windowHeight="12456" tabRatio="726" activeTab="4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9" i="7" l="1"/>
  <c r="G8" i="7"/>
  <c r="G7" i="7"/>
  <c r="G6" i="7"/>
  <c r="G5" i="7"/>
  <c r="G4" i="7"/>
  <c r="C4" i="7"/>
  <c r="C9" i="7"/>
  <c r="C8" i="7"/>
  <c r="C7" i="7"/>
  <c r="C6" i="7"/>
  <c r="C5" i="7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<sst xmlns="http://schemas.openxmlformats.org/spreadsheetml/2006/main" count="654" uniqueCount="322">
  <si>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</si>
  <si>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</si>
  <si>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</si>
  <si>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</si>
  <si>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</si>
  <si>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</si>
  <si>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</si>
  <si>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</si>
  <si>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</si>
  <si>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</si>
  <si>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</si>
  <si>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</si>
  <si>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</si>
  <si>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</si>
  <si>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</si>
  <si>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</si>
  <si>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</si>
  <si>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</si>
  <si>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</si>
  <si>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</si>
  <si>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</si>
  <si>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</si>
  <si>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</si>
  <si>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</si>
  <si>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</si>
  <si>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</si>
  <si>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</si>
  <si>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</si>
  <si>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</si>
  <si>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</si>
  <si>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</si>
  <si>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</si>
  <si>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</si>
  <si>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</si>
  <si>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</si>
  <si>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</si>
  <si>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</si>
  <si>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</si>
  <si>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</si>
  <si>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</si>
  <si>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</si>
  <si>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</si>
  <si>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</si>
  <si>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</si>
  <si>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</si>
  <si>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</si>
  <si>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</si>
  <si>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</si>
  <si>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</si>
  <si>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</si>
  <si>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</si>
  <si>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</si>
  <si>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</si>
  <si>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</si>
  <si>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</si>
  <si>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</si>
  <si>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</si>
  <si>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</si>
  <si>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</si>
  <si>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</si>
  <si>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</si>
  <si>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</si>
  <si>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</si>
  <si>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</si>
  <si>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</si>
  <si>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</si>
  <si>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</si>
  <si>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</si>
  <si>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</si>
  <si>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</si>
  <si>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</si>
  <si>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</si>
  <si>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</si>
  <si>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</si>
  <si>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</si>
  <si>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</si>
  <si>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</si>
  <si>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</si>
  <si>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</si>
  <si>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</si>
  <si>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</si>
  <si>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</si>
  <si>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</si>
  <si>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</si>
  <si>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</si>
  <si>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</si>
  <si>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</si>
  <si>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</si>
  <si>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</si>
  <si>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</si>
  <si>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</si>
  <si>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</si>
  <si>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</si>
  <si>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</si>
  <si>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</si>
  <si>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</si>
  <si>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</si>
  <si>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</si>
  <si>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</si>
  <si>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</si>
  <si>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</si>
  <si>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</si>
  <si>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</si>
  <si>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</si>
  <si>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</si>
  <si>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</si>
  <si>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</si>
  <si>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</si>
  <si>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</si>
  <si>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</si>
  <si>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</si>
  <si>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</si>
  <si>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</si>
  <si>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</si>
  <si>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</si>
  <si>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</si>
  <si>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</si>
  <si>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</si>
  <si>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</si>
  <si>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</si>
  <si>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</si>
  <si>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</si>
  <si>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</si>
  <si>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</si>
  <si>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</si>
  <si>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</si>
  <si>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</si>
  <si>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</si>
  <si>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</si>
  <si>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</si>
  <si>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</si>
  <si>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</si>
  <si>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</si>
  <si>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</si>
  <si>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</si>
  <si>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</si>
  <si>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</si>
  <si>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</si>
  <si>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</si>
  <si>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</si>
  <si>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</si>
  <si>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</si>
  <si>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</si>
  <si>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</si>
  <si>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</si>
  <si>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</si>
  <si>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</si>
  <si>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</si>
  <si>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</si>
  <si>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</si>
  <si>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</si>
  <si>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</si>
  <si>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</si>
  <si>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</si>
  <si>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</si>
  <si>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</si>
  <si>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</si>
  <si>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</si>
  <si>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</si>
  <si>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</si>
  <si>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</si>
  <si>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</si>
  <si>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</si>
  <si>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</si>
  <si>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</si>
  <si>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</si>
  <si>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</si>
  <si>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</si>
  <si>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</si>
  <si>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</si>
  <si>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</si>
  <si>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</si>
  <si>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</si>
  <si>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</si>
  <si>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</si>
  <si>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</si>
  <si>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</si>
  <si>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</si>
  <si>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</si>
  <si>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</si>
  <si>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</si>
  <si>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</si>
  <si>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</si>
  <si>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</si>
  <si>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</si>
  <si>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</si>
  <si>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</si>
  <si>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</si>
  <si>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</si>
  <si>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</si>
  <si>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</si>
  <si>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</si>
  <si>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</si>
  <si>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</si>
  <si>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</si>
  <si>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</si>
  <si>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</si>
  <si>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</si>
  <si>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</si>
  <si>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</si>
  <si>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</si>
  <si>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</si>
  <si>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</si>
  <si>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</si>
  <si>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</si>
  <si>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</si>
  <si>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</si>
  <si>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</si>
  <si>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</si>
  <si>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</si>
  <si>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</si>
  <si>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</si>
  <si>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</si>
  <si>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</si>
  <si>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</si>
  <si>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</si>
  <si>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</si>
  <si>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</si>
  <si>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</si>
  <si>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</si>
  <si>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</si>
  <si>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</si>
  <si>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</si>
  <si>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</si>
  <si>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</si>
  <si>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</si>
  <si>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</si>
  <si>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</si>
  <si>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</si>
  <si>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</si>
  <si>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</si>
  <si>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</si>
  <si>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</si>
  <si>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</si>
  <si>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</si>
  <si>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</si>
  <si>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</si>
  <si>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</si>
  <si>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</si>
  <si>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</si>
  <si>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</si>
  <si>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</si>
  <si>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</si>
  <si>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</si>
  <si>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</si>
  <si>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</si>
  <si>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</si>
  <si>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</si>
  <si>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</si>
  <si>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</si>
  <si>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</si>
  <si>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</si>
  <si>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</si>
  <si>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</si>
  <si>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</si>
  <si>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</si>
  <si>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</si>
  <si>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</si>
  <si>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</si>
  <si>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</si>
  <si>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</si>
  <si>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</si>
  <si>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</si>
  <si>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</si>
  <si>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</si>
  <si>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</si>
  <si>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</si>
  <si>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</si>
  <si>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</si>
  <si>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</si>
  <si>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</si>
  <si>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</si>
  <si>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</si>
  <si>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</si>
  <si>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</si>
  <si>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</si>
  <si>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</si>
  <si>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</si>
  <si>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</si>
  <si>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</si>
  <si>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</si>
  <si>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</si>
  <si>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</si>
  <si>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</si>
  <si>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</si>
  <si>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</si>
  <si>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</si>
  <si>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</si>
  <si>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</si>
  <si>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</si>
  <si>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</si>
  <si>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</si>
  <si>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</si>
  <si>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</si>
  <si>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</si>
  <si>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</si>
  <si>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</si>
  <si>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</si>
  <si>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9 cm Kovacs</t>
  </si>
  <si>
    <t xml:space="preserve">T-probe </t>
  </si>
  <si>
    <t>Testo (NPI)</t>
  </si>
  <si>
    <t>end mark 332 (also lead site)</t>
  </si>
  <si>
    <t>start mark 332</t>
  </si>
  <si>
    <t>T lab =-23</t>
  </si>
  <si>
    <t>Pond water depth</t>
  </si>
  <si>
    <t>David Clemens-Sewall</t>
  </si>
  <si>
    <t>PS149-2b</t>
  </si>
  <si>
    <t>FYI melt pond coring site (S-pond)</t>
  </si>
  <si>
    <t>RHO parafine=0.835</t>
  </si>
  <si>
    <t>layer of ice with bubbles and large crystals</t>
  </si>
  <si>
    <t>more or less clear ice with horizonatally oriented brine/melt channels</t>
  </si>
  <si>
    <t xml:space="preserve">The core for densimetry and texture recovered from melt pond ("S-Pond"). Core was processed the day after the recovery. Most of brine/sea water leacked from ice slab rigjht after recovery and during transportation/processing.  The core is sliced for density and thick sections. </t>
  </si>
  <si>
    <t>202507321-PS149_25-1-SI_corer_9cm-023-FYI-S-melt_pond-RHO-TXT</t>
  </si>
  <si>
    <t>bubbles, piece nearly floats</t>
  </si>
  <si>
    <t>bubbles, piece nearly floats; horizontal voids</t>
  </si>
  <si>
    <t>bubbles out at immersing</t>
  </si>
  <si>
    <t>horizontal voids/melt channels</t>
  </si>
  <si>
    <t>There was a pond with a depth of 0.23 m, and the pond surface had a freeboard of zero.</t>
  </si>
  <si>
    <t>Coring in melt pond where albedo, transmittance, and hyperspectral camera images were collected. This core was co-located with the 'Spond' L-arm measurement site, which appeared from the surface to be a dark pond. Field photos of this specific core were not taken because the core was rushed directly to the freezer lab. However, field photos were taken of a core for micro-CT that was taken approximately 10 cm to the east of this core.</t>
  </si>
  <si>
    <t>slide 2, H thick section h=5.8 mm; H_thin_section=1.0 mm</t>
  </si>
  <si>
    <t>slide 1, H thick section h=5.0(?); H_thin_section=3.4 mm</t>
  </si>
  <si>
    <t>slide 3, H thick section h=4.7 mm; H_thin_section=1.4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</si>
</sst>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RHO core melt pond 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SALO18!$C$5:$C$14</c:f>
              <c:numCache>
                <c:formatCode>0.00</c:formatCode>
                <c:ptCount val="1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0.23</c:v>
                </c:pt>
                <c:pt idx="5">
                  <c:v>0.29000000000000004</c:v>
                </c:pt>
              </c:numCache>
            </c:numRef>
          </c:xVal>
          <c:yVal>
            <c:numRef>
              <c:f>SALO18!$E$5:$E$14</c:f>
              <c:numCache>
                <c:formatCode>General</c:formatCode>
                <c:ptCount val="10"/>
                <c:pt idx="0">
                  <c:v>1.1000000000000001</c:v>
                </c:pt>
                <c:pt idx="1">
                  <c:v>1.8</c:v>
                </c:pt>
                <c:pt idx="2">
                  <c:v>1.9</c:v>
                </c:pt>
                <c:pt idx="3">
                  <c:v>1.9</c:v>
                </c:pt>
                <c:pt idx="4">
                  <c:v>2.2999999999999998</c:v>
                </c:pt>
                <c:pt idx="5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D-4CA2-90B3-824B3468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65055"/>
        <c:axId val="372260735"/>
      </c:scatterChart>
      <c:valAx>
        <c:axId val="37226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72260735"/>
        <c:crosses val="autoZero"/>
        <c:crossBetween val="midCat"/>
      </c:valAx>
      <c:valAx>
        <c:axId val="3722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7226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Density melt pond 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'Density-densimetry'!$C$4:$C$11</c:f>
              <c:numCache>
                <c:formatCode>0.00</c:formatCode>
                <c:ptCount val="8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0.23</c:v>
                </c:pt>
                <c:pt idx="5">
                  <c:v>0.29000000000000004</c:v>
                </c:pt>
              </c:numCache>
            </c:numRef>
          </c:xVal>
          <c:yVal>
            <c:numRef>
              <c:f>'Density-densimetry'!$G$4:$G$11</c:f>
              <c:numCache>
                <c:formatCode>General</c:formatCode>
                <c:ptCount val="8"/>
                <c:pt idx="0">
                  <c:v>0.84129849137931023</c:v>
                </c:pt>
                <c:pt idx="1">
                  <c:v>0.8542745259686727</c:v>
                </c:pt>
                <c:pt idx="2">
                  <c:v>0.8917327861377109</c:v>
                </c:pt>
                <c:pt idx="3">
                  <c:v>0.91070365358592686</c:v>
                </c:pt>
                <c:pt idx="4">
                  <c:v>0.90450970017636678</c:v>
                </c:pt>
                <c:pt idx="5">
                  <c:v>0.91401407519989408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C-4419-99EB-CDD1016D2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10127"/>
        <c:axId val="878996687"/>
      </c:scatterChart>
      <c:valAx>
        <c:axId val="87901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78996687"/>
        <c:crosses val="autoZero"/>
        <c:crossBetween val="midCat"/>
      </c:valAx>
      <c:valAx>
        <c:axId val="8789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7901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977153</xdr:colOff>
      <xdr:row>2</xdr:row>
      <xdr:rowOff>134470</xdr:rowOff>
    </xdr:from>
    <xdr:to>
      <xdr:col>20</xdr:col>
      <xdr:colOff>358588</xdr:colOff>
      <xdr:row>18</xdr:row>
      <xdr:rowOff>17929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1A04B-EA32-5AC4-639C-FB4389F4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349623</xdr:colOff>
      <xdr:row>8</xdr:row>
      <xdr:rowOff>35859</xdr:rowOff>
    </xdr:from>
    <xdr:to>
      <xdr:col>20</xdr:col>
      <xdr:colOff>475129</xdr:colOff>
      <xdr:row>23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06B5B-F2AC-8681-900C-9D765F657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C4" sqref="C4:E4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4" t="s">
        <v>312</v>
      </c>
      <c r="D1" s="144"/>
      <c r="E1" s="144"/>
      <c r="F1" s="9"/>
    </row>
    <row r="2" spans="1:6" ht="14.4">
      <c r="A2" s="7" t="s">
        <v>2</v>
      </c>
      <c r="B2" s="8"/>
      <c r="C2" s="10">
        <v>45869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0.71875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 t="s">
        <v>311</v>
      </c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0.32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0.55000000000000004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 t="s">
        <v>317</v>
      </c>
      <c r="E9" s="9"/>
      <c r="F9" s="9"/>
    </row>
    <row r="10" spans="1:6">
      <c r="A10" s="7" t="s">
        <v>12</v>
      </c>
      <c r="B10" s="8" t="s">
        <v>8</v>
      </c>
      <c r="C10" s="16">
        <v>0.32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298</v>
      </c>
      <c r="D13" s="144"/>
      <c r="E13" s="144"/>
      <c r="F13" s="144"/>
    </row>
    <row r="14" spans="1:6">
      <c r="B14" s="6" t="s">
        <v>299</v>
      </c>
      <c r="C14" s="6" t="s">
        <v>300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H1" sqref="H1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6" max="6" width="12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6" t="s">
        <v>297</v>
      </c>
      <c r="D3" s="146"/>
      <c r="E3" s="146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7" t="s">
        <v>307</v>
      </c>
      <c r="D4" s="147"/>
      <c r="E4" s="147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8" t="s">
        <v>23</v>
      </c>
      <c r="D6" s="148"/>
      <c r="E6" s="148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D8" s="30"/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D9" s="34"/>
      <c r="E9" s="35"/>
      <c r="G9" s="34"/>
      <c r="I9" s="22" t="s">
        <v>302</v>
      </c>
      <c r="J9" s="22" t="s">
        <v>301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45869</v>
      </c>
      <c r="D12" s="38">
        <v>45869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0.70833333333333337</v>
      </c>
      <c r="D13" s="39">
        <v>0.71875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 s="47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>
        <v>-0.23</v>
      </c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>
        <v>0.32</v>
      </c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>
        <v>0.23</v>
      </c>
      <c r="D19" s="22" t="s">
        <v>304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271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/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/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/>
      <c r="E32" t="s">
        <v>305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50"/>
      <c r="D33" s="150"/>
      <c r="E33" s="150"/>
      <c r="F33" s="150"/>
      <c r="G33" s="150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/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1" t="s">
        <v>79</v>
      </c>
      <c r="B41" s="151"/>
      <c r="C41" s="15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2" t="s">
        <v>318</v>
      </c>
      <c r="B42" s="152"/>
      <c r="C42" s="152"/>
      <c r="D42" s="152"/>
      <c r="E42" s="152"/>
      <c r="F42" s="15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6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E10" sqref="E10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E5" s="62">
        <v>1.1000000000000001</v>
      </c>
      <c r="F5" s="6">
        <v>2.29</v>
      </c>
      <c r="G5" s="6">
        <v>15.3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1">
        <v>0.1</v>
      </c>
      <c r="C6" s="142">
        <f t="shared" ref="C6:C10" si="0">AVERAGE(A6:B6)</f>
        <v>7.5000000000000011E-2</v>
      </c>
      <c r="E6" s="62">
        <v>1.8</v>
      </c>
      <c r="F6" s="6">
        <v>3.58</v>
      </c>
      <c r="G6" s="6">
        <v>13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E7" s="62">
        <v>1.9</v>
      </c>
      <c r="F7" s="6">
        <v>3.69</v>
      </c>
      <c r="G7" s="6">
        <v>9.6999999999999993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1">
        <v>0.2</v>
      </c>
      <c r="C8" s="142">
        <f t="shared" si="0"/>
        <v>0.17499999999999999</v>
      </c>
      <c r="E8" s="62">
        <v>1.9</v>
      </c>
      <c r="F8" s="6">
        <v>3.73</v>
      </c>
      <c r="G8" s="6">
        <v>11.6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0.26</v>
      </c>
      <c r="C9" s="142">
        <f t="shared" si="0"/>
        <v>0.23</v>
      </c>
      <c r="E9" s="62">
        <v>2.2999999999999998</v>
      </c>
      <c r="F9" s="6">
        <v>4.4000000000000004</v>
      </c>
      <c r="G9" s="6">
        <v>11.5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0.26</v>
      </c>
      <c r="B10" s="141">
        <v>0.32</v>
      </c>
      <c r="C10" s="142">
        <f t="shared" si="0"/>
        <v>0.29000000000000004</v>
      </c>
      <c r="E10" s="62">
        <v>2.4</v>
      </c>
      <c r="F10" s="6">
        <v>4.6500000000000004</v>
      </c>
      <c r="G10" s="6">
        <v>9.6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/>
      <c r="B12" s="141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/>
      <c r="B13" s="141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/>
      <c r="B14" s="141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F17" sqref="F17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6"/>
      <c r="D4" s="156"/>
      <c r="E4" s="156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6"/>
      <c r="D5" s="156"/>
      <c r="E5" s="156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6"/>
      <c r="D6" s="156"/>
      <c r="E6" s="156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6"/>
      <c r="D7" s="156"/>
      <c r="E7" s="156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6"/>
      <c r="D8" s="156"/>
      <c r="E8" s="15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6"/>
      <c r="D9" s="156"/>
      <c r="E9" s="15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6"/>
      <c r="D10" s="156"/>
      <c r="E10" s="15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6"/>
      <c r="D11" s="156"/>
      <c r="E11" s="15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6"/>
      <c r="D12" s="156"/>
      <c r="E12" s="156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6"/>
      <c r="D13" s="156"/>
      <c r="E13" s="156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6"/>
      <c r="D14" s="156"/>
      <c r="E14" s="156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6"/>
      <c r="D15" s="156"/>
      <c r="E15" s="156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6"/>
      <c r="D16" s="156"/>
      <c r="E16" s="156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6"/>
      <c r="D17" s="156"/>
      <c r="E17" s="15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6"/>
      <c r="D18" s="156"/>
      <c r="E18" s="156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6"/>
      <c r="D19" s="156"/>
      <c r="E19" s="15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6"/>
      <c r="D20" s="156"/>
      <c r="E20" s="15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6"/>
      <c r="D21" s="156"/>
      <c r="E21" s="156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6"/>
      <c r="D22" s="156"/>
      <c r="E22" s="156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6"/>
      <c r="D23" s="156"/>
      <c r="E23" s="15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6"/>
      <c r="D24" s="156"/>
      <c r="E24" s="15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6"/>
      <c r="D25" s="156"/>
      <c r="E25" s="156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6"/>
      <c r="D26" s="156"/>
      <c r="E26" s="156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6"/>
      <c r="D27" s="156"/>
      <c r="E27" s="15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6"/>
      <c r="D28" s="156"/>
      <c r="E28" s="15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6"/>
      <c r="D29" s="156"/>
      <c r="E29" s="15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6"/>
      <c r="D30" s="156"/>
      <c r="E30" s="15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6"/>
      <c r="D31" s="156"/>
      <c r="E31" s="15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6"/>
      <c r="D32" s="156"/>
      <c r="E32" s="15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6"/>
      <c r="D33" s="156"/>
      <c r="E33" s="15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6"/>
      <c r="D34" s="156"/>
      <c r="E34" s="156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6"/>
      <c r="D35" s="156"/>
      <c r="E35" s="15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6"/>
      <c r="D36" s="156"/>
      <c r="E36" s="156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6"/>
      <c r="D37" s="156"/>
      <c r="E37" s="1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6"/>
      <c r="D38" s="156"/>
      <c r="E38" s="15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6"/>
      <c r="D39" s="156"/>
      <c r="E39" s="15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9"/>
  <sheetViews>
    <sheetView tabSelected="1" zoomScale="85" zoomScaleNormal="85" workbookViewId="0">
      <selection activeCell="L17" sqref="L1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0.1</v>
      </c>
      <c r="D4" s="157" t="s">
        <v>281</v>
      </c>
      <c r="E4" s="157"/>
      <c r="F4" s="6" t="s">
        <v>309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2">
        <v>0.1</v>
      </c>
      <c r="B5" s="62">
        <v>0.32</v>
      </c>
      <c r="D5" s="59"/>
      <c r="E5" s="59" t="s">
        <v>254</v>
      </c>
      <c r="F5" s="6" t="s">
        <v>310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2"/>
      <c r="B6" s="62"/>
      <c r="D6" s="59"/>
      <c r="E6" s="5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</v>
      </c>
      <c r="B7" s="6">
        <v>0.1</v>
      </c>
      <c r="D7" s="157"/>
      <c r="E7" s="157"/>
      <c r="F7" s="6" t="s">
        <v>320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">
        <v>0.1</v>
      </c>
      <c r="B8" s="6">
        <v>0.2</v>
      </c>
      <c r="D8" s="157"/>
      <c r="E8" s="157"/>
      <c r="F8" s="6" t="s">
        <v>319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">
        <v>0.2</v>
      </c>
      <c r="B9" s="6">
        <v>0.32</v>
      </c>
      <c r="C9"/>
      <c r="D9" s="157"/>
      <c r="E9" s="157"/>
      <c r="F9" s="6" t="s">
        <v>321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B26" s="62"/>
      <c r="D26" s="157"/>
      <c r="E26" s="15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157"/>
      <c r="E27" s="15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62"/>
      <c r="B28" s="59"/>
      <c r="C28" s="59"/>
      <c r="D28" s="157"/>
      <c r="E28" s="157"/>
      <c r="F28" s="5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2"/>
      <c r="B29" s="59"/>
      <c r="C29" s="59"/>
      <c r="D29" s="157"/>
      <c r="E29" s="157"/>
      <c r="F29" s="5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62"/>
      <c r="D47" s="157"/>
      <c r="E47" s="15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62"/>
      <c r="D48" s="157"/>
      <c r="E48" s="15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153"/>
      <c r="E49" s="153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</sheetData>
  <mergeCells count="46">
    <mergeCell ref="D49:E49"/>
    <mergeCell ref="D44:E44"/>
    <mergeCell ref="D45:E45"/>
    <mergeCell ref="D46:E46"/>
    <mergeCell ref="D47:E47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D8:E8"/>
    <mergeCell ref="D2:E2"/>
    <mergeCell ref="D3:E3"/>
    <mergeCell ref="D4:E4"/>
    <mergeCell ref="D7:E7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D4:E48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E13" sqref="E13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>
        <v>0</v>
      </c>
      <c r="B4" s="141">
        <v>0.05</v>
      </c>
      <c r="C4" s="142">
        <f t="shared" ref="C4:C9" si="0">AVERAGE(A4:B4)</f>
        <v>2.5000000000000001E-2</v>
      </c>
      <c r="D4" s="62"/>
      <c r="E4" s="6">
        <v>93.5</v>
      </c>
      <c r="F4" s="6">
        <v>0.7</v>
      </c>
      <c r="G4" s="6">
        <f>0.835*E4/(E4-F4)</f>
        <v>0.84129849137931023</v>
      </c>
      <c r="H4" s="6" t="s">
        <v>313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>
        <v>0.05</v>
      </c>
      <c r="B5" s="141">
        <v>0.1</v>
      </c>
      <c r="C5" s="142">
        <f t="shared" si="0"/>
        <v>7.5000000000000011E-2</v>
      </c>
      <c r="D5" s="62"/>
      <c r="E5" s="6">
        <v>124.1</v>
      </c>
      <c r="F5" s="6">
        <v>2.8</v>
      </c>
      <c r="G5" s="6">
        <f t="shared" ref="G5:G9" si="1">0.835*E5/(E5-F5)</f>
        <v>0.8542745259686727</v>
      </c>
      <c r="H5" s="6" t="s">
        <v>314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>
        <v>0.1</v>
      </c>
      <c r="B6" s="141">
        <v>0.15</v>
      </c>
      <c r="C6" s="142">
        <f t="shared" si="0"/>
        <v>0.125</v>
      </c>
      <c r="D6" s="62"/>
      <c r="E6" s="6">
        <v>234.2</v>
      </c>
      <c r="F6" s="6">
        <v>14.9</v>
      </c>
      <c r="G6" s="6">
        <f t="shared" si="1"/>
        <v>0.8917327861377109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>
        <v>0.15</v>
      </c>
      <c r="B7" s="141">
        <v>0.2</v>
      </c>
      <c r="C7" s="142">
        <f t="shared" si="0"/>
        <v>0.17499999999999999</v>
      </c>
      <c r="D7" s="62"/>
      <c r="E7" s="6">
        <v>241.8</v>
      </c>
      <c r="F7" s="6">
        <v>20.100000000000001</v>
      </c>
      <c r="G7" s="6">
        <f t="shared" si="1"/>
        <v>0.91070365358592686</v>
      </c>
      <c r="H7" s="6" t="s">
        <v>315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>
        <v>0.2</v>
      </c>
      <c r="B8" s="141">
        <v>0.26</v>
      </c>
      <c r="C8" s="142">
        <f t="shared" si="0"/>
        <v>0.23</v>
      </c>
      <c r="D8" s="62"/>
      <c r="E8" s="6">
        <v>307.10000000000002</v>
      </c>
      <c r="F8" s="6">
        <v>23.6</v>
      </c>
      <c r="G8" s="6">
        <f t="shared" si="1"/>
        <v>0.90450970017636678</v>
      </c>
      <c r="H8" s="6" t="s">
        <v>316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>
        <v>0.26</v>
      </c>
      <c r="B9" s="141">
        <v>0.32</v>
      </c>
      <c r="C9" s="142">
        <f t="shared" si="0"/>
        <v>0.29000000000000004</v>
      </c>
      <c r="D9" s="62"/>
      <c r="E9" s="6">
        <v>331.3</v>
      </c>
      <c r="F9" s="6">
        <v>28.64</v>
      </c>
      <c r="G9" s="6">
        <f t="shared" si="1"/>
        <v>0.91401407519989408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 t="s">
        <v>303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 t="s">
        <v>308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0" t="s">
        <v>122</v>
      </c>
      <c r="G2" s="160"/>
      <c r="H2" s="160" t="s">
        <v>123</v>
      </c>
      <c r="I2" s="160"/>
      <c r="J2" s="161" t="s">
        <v>124</v>
      </c>
      <c r="K2" s="161"/>
      <c r="L2" s="160" t="s">
        <v>125</v>
      </c>
      <c r="M2" s="160"/>
      <c r="N2" s="161" t="s">
        <v>126</v>
      </c>
      <c r="O2" s="161"/>
      <c r="P2" s="163" t="s">
        <v>127</v>
      </c>
      <c r="Q2" s="163"/>
      <c r="R2" s="158" t="s">
        <v>128</v>
      </c>
      <c r="S2" s="158"/>
      <c r="T2" s="163" t="s">
        <v>129</v>
      </c>
      <c r="U2" s="163"/>
      <c r="V2" s="158" t="s">
        <v>130</v>
      </c>
      <c r="W2" s="158"/>
      <c r="X2" s="163" t="s">
        <v>131</v>
      </c>
      <c r="Y2" s="163"/>
      <c r="Z2" s="162" t="s">
        <v>132</v>
      </c>
      <c r="AA2" s="162"/>
      <c r="AB2" s="162" t="s">
        <v>133</v>
      </c>
      <c r="AC2" s="162"/>
      <c r="AD2" s="163" t="s">
        <v>134</v>
      </c>
      <c r="AE2" s="163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0" t="s">
        <v>122</v>
      </c>
      <c r="S1" s="160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2025-08-11T12:09:47Z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