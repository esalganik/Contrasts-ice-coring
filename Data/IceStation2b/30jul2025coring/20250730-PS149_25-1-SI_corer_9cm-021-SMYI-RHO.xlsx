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2b\30jul2025coring\"/>
    </mc:Choice>
  </mc:AlternateContent>
  <xr:revisionPtr revIDLastSave="0" documentId="13_ncr:1_{144F32B5-8126-46C2-90A7-EBAAC6A00A05}" xr6:coauthVersionLast="47" xr6:coauthVersionMax="47" xr10:uidLastSave="{00000000-0000-0000-0000-000000000000}"/>
  <bookViews>
    <workbookView xWindow="0" yWindow="0" windowWidth="19410" windowHeight="20880"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40" i="3" l="1"/>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B5" i="5"/>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alcChain>
</file>

<file path=xl/sharedStrings.xml><?xml version="1.0" encoding="utf-8"?>
<sst xmlns="http://schemas.openxmlformats.org/spreadsheetml/2006/main" count="697" uniqueCount="346">
  <si>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</si>
  <si>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</si>
  <si>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</si>
  <si>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</si>
  <si>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</si>
  <si>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</si>
  <si>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</si>
  <si>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</si>
  <si>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</si>
  <si>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</si>
  <si>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</si>
  <si>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</si>
  <si>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</si>
  <si>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</si>
  <si>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</si>
  <si>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</si>
  <si>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</si>
  <si>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</si>
  <si>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</si>
  <si>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</si>
  <si>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</si>
  <si>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</si>
  <si>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</si>
  <si>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</si>
  <si>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</si>
  <si>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</si>
  <si>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</si>
  <si>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</si>
  <si>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</si>
  <si>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</si>
  <si>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</si>
  <si>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</si>
  <si>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</si>
  <si>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</si>
  <si>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</si>
  <si>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</si>
  <si>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</si>
  <si>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</si>
  <si>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</si>
  <si>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</si>
  <si>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</si>
  <si>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</si>
  <si>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</si>
  <si>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</si>
  <si>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</si>
  <si>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</si>
  <si>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</si>
  <si>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</si>
  <si>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</si>
  <si>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</si>
  <si>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</si>
  <si>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</si>
  <si>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</si>
  <si>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</si>
  <si>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</si>
  <si>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</si>
  <si>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</si>
  <si>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</si>
  <si>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</si>
  <si>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</si>
  <si>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</si>
  <si>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</si>
  <si>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</si>
  <si>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</si>
  <si>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</si>
  <si>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</si>
  <si>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</si>
  <si>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</si>
  <si>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</si>
  <si>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</si>
  <si>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</si>
  <si>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</si>
  <si>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</si>
  <si>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</si>
  <si>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</si>
  <si>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</si>
  <si>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</si>
  <si>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</si>
  <si>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</si>
  <si>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</si>
  <si>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</si>
  <si>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</si>
  <si>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</si>
  <si>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</si>
  <si>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</si>
  <si>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</si>
  <si>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</si>
  <si>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</si>
  <si>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</si>
  <si>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</si>
  <si>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</si>
  <si>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</si>
  <si>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</si>
  <si>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</si>
  <si>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</si>
  <si>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</si>
  <si>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</si>
  <si>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</si>
  <si>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</si>
  <si>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</si>
  <si>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</si>
  <si>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</si>
  <si>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</si>
  <si>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</si>
  <si>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</si>
  <si>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</si>
  <si>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</si>
  <si>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</si>
  <si>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</si>
  <si>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</si>
  <si>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</si>
  <si>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</si>
  <si>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</si>
  <si>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</si>
  <si>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</si>
  <si>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</si>
  <si>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</si>
  <si>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</si>
  <si>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</si>
  <si>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</si>
  <si>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</si>
  <si>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</si>
  <si>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</si>
  <si>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</si>
  <si>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</si>
  <si>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</si>
  <si>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</si>
  <si>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</si>
  <si>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</si>
  <si>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</si>
  <si>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</si>
  <si>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</si>
  <si>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</si>
  <si>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</si>
  <si>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</si>
  <si>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</si>
  <si>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</si>
  <si>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</si>
  <si>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</si>
  <si>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</si>
  <si>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</si>
  <si>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</si>
  <si>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</si>
  <si>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</si>
  <si>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</si>
  <si>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</si>
  <si>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</si>
  <si>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</si>
  <si>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</si>
  <si>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</si>
  <si>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</si>
  <si>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</si>
  <si>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</si>
  <si>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</si>
  <si>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</si>
  <si>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</si>
  <si>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</si>
  <si>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</si>
  <si>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</si>
  <si>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</si>
  <si>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</si>
  <si>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</si>
  <si>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</si>
  <si>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</si>
  <si>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</si>
  <si>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</si>
  <si>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</si>
  <si>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</si>
  <si>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</si>
  <si>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</si>
  <si>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</si>
  <si>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</si>
  <si>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</si>
  <si>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</si>
  <si>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</si>
  <si>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</si>
  <si>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</si>
  <si>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</si>
  <si>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</si>
  <si>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</si>
  <si>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</si>
  <si>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</si>
  <si>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</si>
  <si>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</si>
  <si>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</si>
  <si>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</si>
  <si>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</si>
  <si>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</si>
  <si>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</si>
  <si>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</si>
  <si>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</si>
  <si>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</si>
  <si>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</si>
  <si>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</si>
  <si>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</si>
  <si>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</si>
  <si>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</si>
  <si>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</si>
  <si>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</si>
  <si>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</si>
  <si>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</si>
  <si>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</si>
  <si>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</si>
  <si>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</si>
  <si>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</si>
  <si>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</si>
  <si>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</si>
  <si>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</si>
  <si>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</si>
  <si>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</si>
  <si>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</si>
  <si>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</si>
  <si>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</si>
  <si>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</si>
  <si>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</si>
  <si>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</si>
  <si>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</si>
  <si>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</si>
  <si>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</si>
  <si>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</si>
  <si>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</si>
  <si>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</si>
  <si>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</si>
  <si>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</si>
  <si>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</si>
  <si>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</si>
  <si>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</si>
  <si>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</si>
  <si>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</si>
  <si>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</si>
  <si>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</si>
  <si>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</si>
  <si>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</si>
  <si>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</si>
  <si>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</si>
  <si>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</si>
  <si>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</si>
  <si>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</si>
  <si>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</si>
  <si>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</si>
  <si>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</si>
  <si>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</si>
  <si>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</si>
  <si>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</si>
  <si>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</si>
  <si>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</si>
  <si>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</si>
  <si>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</si>
  <si>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</si>
  <si>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</si>
  <si>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</si>
  <si>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</si>
  <si>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</si>
  <si>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</si>
  <si>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</si>
  <si>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</si>
  <si>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</si>
  <si>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</si>
  <si>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</si>
  <si>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</si>
  <si>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</si>
  <si>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</si>
  <si>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</si>
  <si>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</si>
  <si>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</si>
  <si>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</si>
  <si>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</si>
  <si>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</si>
  <si>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</si>
  <si>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</si>
  <si>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</si>
  <si>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</si>
  <si>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</si>
  <si>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</si>
  <si>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</si>
  <si>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</si>
  <si>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</si>
  <si>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</si>
  <si>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</si>
  <si>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</si>
  <si>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</si>
  <si>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</si>
  <si>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</si>
  <si>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</si>
  <si>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</si>
  <si>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</si>
  <si>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</si>
  <si>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</si>
  <si>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</si>
  <si>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</si>
  <si>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</si>
  <si>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</si>
  <si>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</si>
  <si>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</si>
  <si>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</si>
  <si>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</si>
  <si>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</si>
  <si>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</si>
  <si>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</si>
  <si>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</si>
  <si>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</si>
  <si>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</si>
  <si>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</si>
  <si>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borehole</t>
  </si>
  <si>
    <t>all ECO and BGC cores</t>
  </si>
  <si>
    <t>some fresh snow on surface</t>
  </si>
  <si>
    <t xml:space="preserve">CONTRATS-PS_149 </t>
  </si>
  <si>
    <t>PS149-2b</t>
  </si>
  <si>
    <t>20250730-PS149_25-1-SI_corer_9cm-020-SMYI-T</t>
  </si>
  <si>
    <t>mark end 336</t>
  </si>
  <si>
    <t>T-core packed as 20250730-PS149_25-1-SI_corer_9cm-021-SMYI-RHO core to be analyzed onboard for density and salinity</t>
  </si>
  <si>
    <t>core hole not measured for this core</t>
  </si>
  <si>
    <t>20250730-PS149_25-1-SI_corer_9cm-021-SMYI-RHO</t>
  </si>
  <si>
    <t>20250730-PS149_25-1-SI_corer_9cm-022-SMYI-REP</t>
  </si>
  <si>
    <t>Coring site SYI-MYI part of the Station 2 floe; ice with sediment layers aka "dirty ice"</t>
  </si>
  <si>
    <t>Ice Station 2b (event 25-1), coring on the older (SYI-MYI) part of the floe.  The site is located some 1 km away of "Polarstern" and features ridged surface, thicker ice which on the coring site was laden with sediments. Two layres of sediments found when coring, suggesting it could be at least three years old ice (MYI).</t>
  </si>
  <si>
    <t>C8</t>
  </si>
  <si>
    <t>C9</t>
  </si>
  <si>
    <t>C10</t>
  </si>
  <si>
    <t>C11</t>
  </si>
  <si>
    <t>C12</t>
  </si>
  <si>
    <t>C13</t>
  </si>
  <si>
    <t>C14</t>
  </si>
  <si>
    <t>C15</t>
  </si>
  <si>
    <t>C16</t>
  </si>
  <si>
    <t>C17</t>
  </si>
  <si>
    <t>Tlab=-23</t>
  </si>
  <si>
    <t>rho_parafine=0.835 (measured right after the densimetry work)</t>
  </si>
  <si>
    <t>balance impossible to calibrate due to vessels vibrations. Measured weights accurate down to 0.5 g, except for the weights given with a 2 figures acuracy after the decimal separator ( for the measurements when the balance could stabilize itself) .</t>
  </si>
  <si>
    <t>section 1</t>
  </si>
  <si>
    <t>section 2</t>
  </si>
  <si>
    <t>T profile see in the T-core xls file</t>
  </si>
  <si>
    <t>bubbles out at immersing. Scatter layer(?)</t>
  </si>
  <si>
    <t>bubbles out at immersing. Sediments inside, large bubbles.</t>
  </si>
  <si>
    <t>a bit of sediments, large bubbles inside. Bubbles out at immersing</t>
  </si>
  <si>
    <t>large bubbles inside</t>
  </si>
  <si>
    <t xml:space="preserve">large bubbles inside and melt channels. </t>
  </si>
  <si>
    <t>large bubbles inside and melt channels. bubbles out at immersing</t>
  </si>
  <si>
    <t>bubbles inside gets smaller</t>
  </si>
  <si>
    <t>large bubbles</t>
  </si>
  <si>
    <t>small bubbles</t>
  </si>
  <si>
    <t>small bubbles, piece broke off when cutting</t>
  </si>
  <si>
    <t>bubbles out at immersing. Sediments inside, large bubbles. Sample of 2 pieces</t>
  </si>
  <si>
    <t xml:space="preserve"> Sample of 2 pieces</t>
  </si>
  <si>
    <t>see also texture details in the densimetry spreadsheet</t>
  </si>
  <si>
    <t>whirl-packs here and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</si>
</sst>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5">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SMYI Station 2b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SALO18!$C$5:$C$41</c:f>
              <c:numCache>
                <c:formatCode>0.00</c:formatCode>
                <c:ptCount val="37"/>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0.97499999999999998</c:v>
                </c:pt>
                <c:pt idx="20">
                  <c:v>1.0249999999999999</c:v>
                </c:pt>
                <c:pt idx="21">
                  <c:v>1.0750000000000002</c:v>
                </c:pt>
                <c:pt idx="22">
                  <c:v>1.125</c:v>
                </c:pt>
                <c:pt idx="23">
                  <c:v>1.1749999999999998</c:v>
                </c:pt>
                <c:pt idx="24">
                  <c:v>1.2250000000000001</c:v>
                </c:pt>
                <c:pt idx="25">
                  <c:v>1.2749999999999999</c:v>
                </c:pt>
                <c:pt idx="26">
                  <c:v>1.3250000000000002</c:v>
                </c:pt>
                <c:pt idx="27">
                  <c:v>1.39</c:v>
                </c:pt>
                <c:pt idx="28">
                  <c:v>1.4249999999999998</c:v>
                </c:pt>
                <c:pt idx="29">
                  <c:v>1.4750000000000001</c:v>
                </c:pt>
                <c:pt idx="30">
                  <c:v>1.5249999999999999</c:v>
                </c:pt>
                <c:pt idx="31">
                  <c:v>1.5750000000000002</c:v>
                </c:pt>
                <c:pt idx="32">
                  <c:v>1.625</c:v>
                </c:pt>
                <c:pt idx="33">
                  <c:v>1.6749999999999998</c:v>
                </c:pt>
                <c:pt idx="34">
                  <c:v>1.7250000000000001</c:v>
                </c:pt>
                <c:pt idx="35">
                  <c:v>1.7749999999999999</c:v>
                </c:pt>
              </c:numCache>
            </c:numRef>
          </c:xVal>
          <c:yVal>
            <c:numRef>
              <c:f>SALO18!$E$5:$E$41</c:f>
              <c:numCache>
                <c:formatCode>General</c:formatCode>
                <c:ptCount val="37"/>
                <c:pt idx="0">
                  <c:v>0.1</c:v>
                </c:pt>
                <c:pt idx="1">
                  <c:v>0.1</c:v>
                </c:pt>
                <c:pt idx="2">
                  <c:v>0</c:v>
                </c:pt>
                <c:pt idx="3">
                  <c:v>0</c:v>
                </c:pt>
                <c:pt idx="4">
                  <c:v>0</c:v>
                </c:pt>
                <c:pt idx="5">
                  <c:v>0.2</c:v>
                </c:pt>
                <c:pt idx="6">
                  <c:v>0.4</c:v>
                </c:pt>
                <c:pt idx="7">
                  <c:v>0.5</c:v>
                </c:pt>
                <c:pt idx="8">
                  <c:v>0.7</c:v>
                </c:pt>
                <c:pt idx="9">
                  <c:v>1.1000000000000001</c:v>
                </c:pt>
                <c:pt idx="10">
                  <c:v>1.4</c:v>
                </c:pt>
                <c:pt idx="11">
                  <c:v>1.7</c:v>
                </c:pt>
                <c:pt idx="12">
                  <c:v>1.6</c:v>
                </c:pt>
                <c:pt idx="13">
                  <c:v>1.8</c:v>
                </c:pt>
                <c:pt idx="14">
                  <c:v>1.9</c:v>
                </c:pt>
                <c:pt idx="15">
                  <c:v>1.9</c:v>
                </c:pt>
                <c:pt idx="16">
                  <c:v>1.7</c:v>
                </c:pt>
                <c:pt idx="17">
                  <c:v>1.8</c:v>
                </c:pt>
                <c:pt idx="18">
                  <c:v>1.9</c:v>
                </c:pt>
                <c:pt idx="19">
                  <c:v>1.9</c:v>
                </c:pt>
                <c:pt idx="20">
                  <c:v>2.7</c:v>
                </c:pt>
                <c:pt idx="21">
                  <c:v>3.1</c:v>
                </c:pt>
                <c:pt idx="22">
                  <c:v>3.1</c:v>
                </c:pt>
                <c:pt idx="23">
                  <c:v>3.2</c:v>
                </c:pt>
                <c:pt idx="24">
                  <c:v>3.4</c:v>
                </c:pt>
                <c:pt idx="25">
                  <c:v>3.5</c:v>
                </c:pt>
                <c:pt idx="26">
                  <c:v>3.2</c:v>
                </c:pt>
                <c:pt idx="27">
                  <c:v>3.1</c:v>
                </c:pt>
                <c:pt idx="28">
                  <c:v>3.3</c:v>
                </c:pt>
                <c:pt idx="29">
                  <c:v>3.2</c:v>
                </c:pt>
                <c:pt idx="30">
                  <c:v>2.9</c:v>
                </c:pt>
                <c:pt idx="31">
                  <c:v>2.8</c:v>
                </c:pt>
                <c:pt idx="32">
                  <c:v>2</c:v>
                </c:pt>
                <c:pt idx="33">
                  <c:v>1.9</c:v>
                </c:pt>
                <c:pt idx="34">
                  <c:v>1.8</c:v>
                </c:pt>
                <c:pt idx="35">
                  <c:v>1.6</c:v>
                </c:pt>
              </c:numCache>
            </c:numRef>
          </c:yVal>
          <c:smooth val="1"/>
          <c:extLst>
            <c:ext xmlns:c16="http://schemas.microsoft.com/office/drawing/2014/chart" uri="{C3380CC4-5D6E-409C-BE32-E72D297353CC}">
              <c16:uniqueId val="{00000000-DB52-4B38-ACA4-8FDBBBCA5DD9}"/>
            </c:ext>
          </c:extLst>
        </c:ser>
        <c:dLbls>
          <c:showLegendKey val="0"/>
          <c:showVal val="0"/>
          <c:showCatName val="0"/>
          <c:showSerName val="0"/>
          <c:showPercent val="0"/>
          <c:showBubbleSize val="0"/>
        </c:dLbls>
        <c:axId val="1864950399"/>
        <c:axId val="1864948959"/>
      </c:scatterChart>
      <c:valAx>
        <c:axId val="1864950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48959"/>
        <c:crosses val="autoZero"/>
        <c:crossBetween val="midCat"/>
      </c:valAx>
      <c:valAx>
        <c:axId val="186494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503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SYI/MYI coring site Station 2b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'Density-densimetry'!$C$4:$C$39</c:f>
              <c:numCache>
                <c:formatCode>0.00</c:formatCode>
                <c:ptCount val="36"/>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0.97499999999999998</c:v>
                </c:pt>
                <c:pt idx="20">
                  <c:v>1.0249999999999999</c:v>
                </c:pt>
                <c:pt idx="21">
                  <c:v>1.0750000000000002</c:v>
                </c:pt>
                <c:pt idx="22">
                  <c:v>1.125</c:v>
                </c:pt>
                <c:pt idx="23">
                  <c:v>1.1749999999999998</c:v>
                </c:pt>
                <c:pt idx="24">
                  <c:v>1.2250000000000001</c:v>
                </c:pt>
                <c:pt idx="25">
                  <c:v>1.2749999999999999</c:v>
                </c:pt>
                <c:pt idx="26">
                  <c:v>1.3250000000000002</c:v>
                </c:pt>
                <c:pt idx="27">
                  <c:v>1.39</c:v>
                </c:pt>
                <c:pt idx="28">
                  <c:v>1.4249999999999998</c:v>
                </c:pt>
                <c:pt idx="29">
                  <c:v>1.4750000000000001</c:v>
                </c:pt>
                <c:pt idx="30">
                  <c:v>1.5249999999999999</c:v>
                </c:pt>
                <c:pt idx="31">
                  <c:v>1.5750000000000002</c:v>
                </c:pt>
                <c:pt idx="32">
                  <c:v>1.625</c:v>
                </c:pt>
                <c:pt idx="33">
                  <c:v>1.6749999999999998</c:v>
                </c:pt>
                <c:pt idx="34">
                  <c:v>1.7250000000000001</c:v>
                </c:pt>
                <c:pt idx="35">
                  <c:v>1.7749999999999999</c:v>
                </c:pt>
              </c:numCache>
            </c:numRef>
          </c:xVal>
          <c:yVal>
            <c:numRef>
              <c:f>'Density-densimetry'!$G$4:$G$39</c:f>
              <c:numCache>
                <c:formatCode>General</c:formatCode>
                <c:ptCount val="36"/>
                <c:pt idx="0">
                  <c:v>0.87054287476866121</c:v>
                </c:pt>
                <c:pt idx="1">
                  <c:v>0.86107919687674284</c:v>
                </c:pt>
                <c:pt idx="2">
                  <c:v>0.87390117647058829</c:v>
                </c:pt>
                <c:pt idx="3">
                  <c:v>0.88249793899422913</c:v>
                </c:pt>
                <c:pt idx="4">
                  <c:v>0.88622237257555248</c:v>
                </c:pt>
                <c:pt idx="5">
                  <c:v>0.884432</c:v>
                </c:pt>
                <c:pt idx="6">
                  <c:v>0.87482521755230502</c:v>
                </c:pt>
                <c:pt idx="7">
                  <c:v>0.90234951845906897</c:v>
                </c:pt>
                <c:pt idx="8">
                  <c:v>0.89953952388219127</c:v>
                </c:pt>
                <c:pt idx="9">
                  <c:v>0.91251195219123504</c:v>
                </c:pt>
                <c:pt idx="10">
                  <c:v>0.91350695750282063</c:v>
                </c:pt>
                <c:pt idx="11">
                  <c:v>0.91071712427745666</c:v>
                </c:pt>
                <c:pt idx="12">
                  <c:v>0.91425376842802719</c:v>
                </c:pt>
                <c:pt idx="13">
                  <c:v>0.91441707777132919</c:v>
                </c:pt>
                <c:pt idx="14">
                  <c:v>0.91212976813762148</c:v>
                </c:pt>
                <c:pt idx="15">
                  <c:v>0.91104791514264805</c:v>
                </c:pt>
                <c:pt idx="16">
                  <c:v>0.91208577333792629</c:v>
                </c:pt>
                <c:pt idx="17">
                  <c:v>0.90455976972570273</c:v>
                </c:pt>
                <c:pt idx="18">
                  <c:v>0.90708087233075874</c:v>
                </c:pt>
                <c:pt idx="19">
                  <c:v>0.90919329696024942</c:v>
                </c:pt>
                <c:pt idx="20">
                  <c:v>0.91423602734217924</c:v>
                </c:pt>
                <c:pt idx="21">
                  <c:v>0.91364850234572359</c:v>
                </c:pt>
                <c:pt idx="22">
                  <c:v>0.91239912758996722</c:v>
                </c:pt>
                <c:pt idx="23">
                  <c:v>0.9132223476297967</c:v>
                </c:pt>
                <c:pt idx="24">
                  <c:v>0.91214107365792751</c:v>
                </c:pt>
                <c:pt idx="25">
                  <c:v>0.91470599465444824</c:v>
                </c:pt>
                <c:pt idx="26">
                  <c:v>0.90727865612648229</c:v>
                </c:pt>
                <c:pt idx="27">
                  <c:v>0.90614027538726338</c:v>
                </c:pt>
                <c:pt idx="28">
                  <c:v>0.90795521292217329</c:v>
                </c:pt>
                <c:pt idx="29">
                  <c:v>0.90718012185833963</c:v>
                </c:pt>
                <c:pt idx="30">
                  <c:v>0.90118902439024384</c:v>
                </c:pt>
                <c:pt idx="31">
                  <c:v>0.89336210526315785</c:v>
                </c:pt>
                <c:pt idx="32">
                  <c:v>0.89970599688473507</c:v>
                </c:pt>
                <c:pt idx="33">
                  <c:v>0.90213105726872234</c:v>
                </c:pt>
                <c:pt idx="34">
                  <c:v>0.90793794749403334</c:v>
                </c:pt>
                <c:pt idx="35">
                  <c:v>0.91182000000000007</c:v>
                </c:pt>
              </c:numCache>
            </c:numRef>
          </c:yVal>
          <c:smooth val="1"/>
          <c:extLst>
            <c:ext xmlns:c16="http://schemas.microsoft.com/office/drawing/2014/chart" uri="{C3380CC4-5D6E-409C-BE32-E72D297353CC}">
              <c16:uniqueId val="{00000000-7EE8-44F0-A58F-85C608233618}"/>
            </c:ext>
          </c:extLst>
        </c:ser>
        <c:dLbls>
          <c:showLegendKey val="0"/>
          <c:showVal val="0"/>
          <c:showCatName val="0"/>
          <c:showSerName val="0"/>
          <c:showPercent val="0"/>
          <c:showBubbleSize val="0"/>
        </c:dLbls>
        <c:axId val="2115736672"/>
        <c:axId val="2115740992"/>
      </c:scatterChart>
      <c:valAx>
        <c:axId val="21157366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740992"/>
        <c:crosses val="autoZero"/>
        <c:crossBetween val="midCat"/>
      </c:valAx>
      <c:valAx>
        <c:axId val="211574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7366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35859</xdr:colOff>
      <xdr:row>22</xdr:row>
      <xdr:rowOff>116541</xdr:rowOff>
    </xdr:from>
    <xdr:to>
      <xdr:col>17</xdr:col>
      <xdr:colOff>71718</xdr:colOff>
      <xdr:row>37</xdr:row>
      <xdr:rowOff>17929</xdr:rowOff>
    </xdr:to>
    <xdr:graphicFrame macro="">
      <xdr:nvGraphicFramePr>
        <xdr:cNvPr id="2" name="Chart 1">
          <a:extLst>
            <a:ext uri="{FF2B5EF4-FFF2-40B4-BE49-F238E27FC236}">
              <a16:creationId xmlns:a16="http://schemas.microsoft.com/office/drawing/2014/main" id="{C9BD8663-EFF1-6259-D550-42637820A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457199</xdr:colOff>
      <xdr:row>20</xdr:row>
      <xdr:rowOff>179293</xdr:rowOff>
    </xdr:from>
    <xdr:to>
      <xdr:col>18</xdr:col>
      <xdr:colOff>322729</xdr:colOff>
      <xdr:row>36</xdr:row>
      <xdr:rowOff>53787</xdr:rowOff>
    </xdr:to>
    <xdr:graphicFrame macro="">
      <xdr:nvGraphicFramePr>
        <xdr:cNvPr id="2" name="Chart 1">
          <a:extLst>
            <a:ext uri="{FF2B5EF4-FFF2-40B4-BE49-F238E27FC236}">
              <a16:creationId xmlns:a16="http://schemas.microsoft.com/office/drawing/2014/main" id="{40C9B82B-02B5-1BDA-4EAD-7D1934C49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D21" sqref="D21"/>
    </sheetView>
  </sheetViews>
  <sheetFormatPr defaultColWidth="13.5703125" defaultRowHeight="14.25"/>
  <cols>
    <col min="1" max="2" width="13.5703125" style="6"/>
    <col min="3" max="3" width="14.5703125" style="6" bestFit="1" customWidth="1"/>
    <col min="4" max="1025" width="13.5703125" style="6"/>
  </cols>
  <sheetData>
    <row r="1" spans="1:7" ht="15">
      <c r="A1" s="7" t="s">
        <v>0</v>
      </c>
      <c r="B1" s="8" t="s">
        <v>1</v>
      </c>
      <c r="C1" s="142" t="s">
        <v>308</v>
      </c>
      <c r="D1" s="142"/>
      <c r="E1" s="142"/>
      <c r="F1" s="9"/>
    </row>
    <row r="2" spans="1:7" ht="15">
      <c r="A2" s="7" t="s">
        <v>2</v>
      </c>
      <c r="B2" s="8"/>
      <c r="C2" s="10">
        <v>45868</v>
      </c>
      <c r="D2" s="11" t="s">
        <v>3</v>
      </c>
      <c r="E2" s="9"/>
      <c r="F2" s="9"/>
    </row>
    <row r="3" spans="1:7" ht="15">
      <c r="A3" s="7" t="s">
        <v>4</v>
      </c>
      <c r="B3" s="8"/>
      <c r="C3" s="12">
        <v>0.69374999999999998</v>
      </c>
      <c r="D3" s="11" t="s">
        <v>3</v>
      </c>
      <c r="E3" s="9"/>
      <c r="F3" s="9"/>
    </row>
    <row r="4" spans="1:7" ht="15">
      <c r="A4" s="13" t="s">
        <v>5</v>
      </c>
      <c r="B4" s="14" t="s">
        <v>1</v>
      </c>
      <c r="C4" s="142" t="s">
        <v>310</v>
      </c>
      <c r="D4" s="142"/>
      <c r="E4" s="142"/>
      <c r="F4" s="9"/>
    </row>
    <row r="5" spans="1:7">
      <c r="A5" s="9"/>
      <c r="B5" s="9"/>
      <c r="C5" s="9"/>
      <c r="D5" s="9"/>
      <c r="E5" s="9"/>
      <c r="F5" s="9"/>
    </row>
    <row r="6" spans="1:7" ht="15">
      <c r="A6" s="15" t="s">
        <v>6</v>
      </c>
      <c r="B6" s="9"/>
      <c r="C6" s="9"/>
      <c r="D6" s="9"/>
      <c r="E6" s="9"/>
      <c r="F6" s="9"/>
    </row>
    <row r="7" spans="1:7" ht="15">
      <c r="A7" s="7" t="s">
        <v>7</v>
      </c>
      <c r="B7" s="8" t="s">
        <v>8</v>
      </c>
      <c r="C7" s="16"/>
      <c r="D7" s="17" t="s">
        <v>9</v>
      </c>
      <c r="E7" s="9"/>
      <c r="F7" s="9"/>
    </row>
    <row r="8" spans="1:7" ht="15">
      <c r="A8" s="7" t="s">
        <v>10</v>
      </c>
      <c r="B8" s="8" t="s">
        <v>8</v>
      </c>
      <c r="C8" s="16"/>
      <c r="D8" s="17" t="s">
        <v>9</v>
      </c>
      <c r="E8" s="9"/>
      <c r="F8" s="9"/>
      <c r="G8" s="6" t="s">
        <v>311</v>
      </c>
    </row>
    <row r="9" spans="1:7" ht="15">
      <c r="A9" s="7" t="s">
        <v>11</v>
      </c>
      <c r="B9" s="8" t="s">
        <v>8</v>
      </c>
      <c r="C9" s="18"/>
      <c r="D9" s="9"/>
      <c r="E9" s="9"/>
      <c r="F9" s="9"/>
    </row>
    <row r="10" spans="1:7" ht="15">
      <c r="A10" s="7" t="s">
        <v>12</v>
      </c>
      <c r="B10" s="8" t="s">
        <v>8</v>
      </c>
      <c r="C10" s="16">
        <v>1.81</v>
      </c>
      <c r="D10" s="9" t="s">
        <v>13</v>
      </c>
      <c r="E10" s="9"/>
      <c r="F10" s="9"/>
    </row>
    <row r="11" spans="1:7">
      <c r="A11" s="9"/>
      <c r="B11" s="9"/>
      <c r="C11" s="9"/>
      <c r="D11" s="9"/>
      <c r="E11" s="9"/>
      <c r="F11" s="9"/>
    </row>
    <row r="12" spans="1:7" ht="15">
      <c r="A12" s="19" t="s">
        <v>14</v>
      </c>
      <c r="B12" s="19"/>
      <c r="C12" s="19"/>
      <c r="D12" s="19"/>
      <c r="E12" s="19"/>
      <c r="F12" s="19"/>
    </row>
    <row r="13" spans="1:7" ht="15">
      <c r="A13" s="19" t="s">
        <v>15</v>
      </c>
      <c r="B13" s="19"/>
      <c r="C13" s="142" t="s">
        <v>298</v>
      </c>
      <c r="D13" s="142"/>
      <c r="E13" s="142"/>
      <c r="F13" s="142"/>
    </row>
    <row r="14" spans="1:7">
      <c r="B14" s="6" t="s">
        <v>300</v>
      </c>
      <c r="C14" s="6" t="s">
        <v>301</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A42" sqref="A42:F4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3" t="s">
        <v>19</v>
      </c>
      <c r="B2" s="143"/>
      <c r="C2" s="143"/>
      <c r="D2" s="143"/>
      <c r="E2" s="143"/>
      <c r="F2" s="4"/>
      <c r="G2" s="4"/>
      <c r="H2" s="4"/>
      <c r="I2" s="4"/>
      <c r="J2" s="22"/>
      <c r="K2" s="22"/>
      <c r="L2" s="22"/>
      <c r="M2" s="22"/>
      <c r="N2" s="22"/>
      <c r="O2" s="22"/>
      <c r="P2" s="22"/>
      <c r="Q2" s="22"/>
      <c r="R2" s="22"/>
      <c r="S2" s="22"/>
      <c r="T2" s="22"/>
      <c r="U2" s="22"/>
      <c r="V2" s="22"/>
      <c r="W2" s="22"/>
      <c r="X2" s="22"/>
      <c r="Y2" s="22"/>
    </row>
    <row r="3" spans="1:25" ht="12.75" customHeight="1">
      <c r="A3" s="23" t="s">
        <v>20</v>
      </c>
      <c r="B3" s="24"/>
      <c r="C3" s="144" t="s">
        <v>306</v>
      </c>
      <c r="D3" s="144"/>
      <c r="E3" s="144"/>
      <c r="F3" s="4"/>
      <c r="G3" s="4"/>
      <c r="H3" s="4"/>
      <c r="I3" s="4"/>
      <c r="J3" s="22"/>
      <c r="K3" s="22"/>
      <c r="L3" s="22"/>
      <c r="M3" s="22"/>
      <c r="N3" s="22"/>
      <c r="O3" s="22"/>
      <c r="P3" s="22"/>
      <c r="Q3" s="22"/>
      <c r="R3" s="22"/>
      <c r="S3" s="22"/>
      <c r="T3" s="22"/>
      <c r="U3" s="22"/>
      <c r="V3" s="22"/>
      <c r="W3" s="22"/>
      <c r="X3" s="22"/>
      <c r="Y3" s="22"/>
    </row>
    <row r="4" spans="1:25" ht="12.75" customHeight="1">
      <c r="A4" s="25" t="s">
        <v>21</v>
      </c>
      <c r="B4" s="26"/>
      <c r="C4" s="145" t="s">
        <v>314</v>
      </c>
      <c r="D4" s="145"/>
      <c r="E4" s="145"/>
      <c r="F4" s="4"/>
      <c r="G4" s="4"/>
      <c r="H4" s="4"/>
      <c r="I4" s="4"/>
      <c r="J4" s="22"/>
      <c r="K4" s="22"/>
      <c r="L4" s="22"/>
      <c r="M4" s="22"/>
      <c r="N4" s="22"/>
      <c r="O4" s="22"/>
      <c r="P4" s="22"/>
      <c r="Q4" s="22"/>
      <c r="R4" s="22"/>
      <c r="S4" s="22"/>
      <c r="T4" s="22"/>
      <c r="U4" s="22"/>
      <c r="V4" s="22"/>
      <c r="W4" s="22"/>
      <c r="X4" s="22"/>
      <c r="Y4" s="22"/>
    </row>
    <row r="5" spans="1:25" ht="25.9" customHeight="1">
      <c r="A5" s="143" t="s">
        <v>22</v>
      </c>
      <c r="B5" s="143"/>
      <c r="C5" s="143"/>
      <c r="D5" s="143"/>
      <c r="E5" s="143"/>
      <c r="F5" s="4"/>
      <c r="G5" s="4"/>
      <c r="H5" s="22"/>
      <c r="I5" s="4"/>
      <c r="J5" s="22"/>
      <c r="K5" s="22"/>
      <c r="L5" s="22"/>
      <c r="M5" s="22"/>
      <c r="N5" s="22"/>
      <c r="O5" s="22"/>
      <c r="P5" s="22"/>
      <c r="Q5" s="22"/>
      <c r="R5" s="22"/>
      <c r="S5" s="22"/>
      <c r="T5" s="22"/>
      <c r="U5" s="22"/>
      <c r="V5" s="22"/>
      <c r="W5" s="22"/>
      <c r="X5" s="22"/>
      <c r="Y5" s="22"/>
    </row>
    <row r="6" spans="1:25" ht="13.5" customHeight="1">
      <c r="A6" s="4"/>
      <c r="B6" s="4"/>
      <c r="C6" s="146" t="s">
        <v>23</v>
      </c>
      <c r="D6" s="146"/>
      <c r="E6" s="146"/>
      <c r="F6" s="143" t="s">
        <v>24</v>
      </c>
      <c r="G6" s="143"/>
      <c r="H6" s="143"/>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43.304499999999997</v>
      </c>
      <c r="E8" s="31"/>
      <c r="F8">
        <v>83.716074000000006</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16</v>
      </c>
      <c r="D9" s="34">
        <v>5.6661000000000001</v>
      </c>
      <c r="E9" s="35"/>
      <c r="F9">
        <v>16.110990000000001</v>
      </c>
      <c r="G9" s="34"/>
      <c r="I9" s="22"/>
      <c r="J9" s="22" t="s">
        <v>309</v>
      </c>
      <c r="K9" s="22"/>
      <c r="L9" s="22"/>
      <c r="M9" s="22"/>
      <c r="N9" s="22"/>
      <c r="O9" s="22"/>
      <c r="P9" s="22"/>
      <c r="Q9" s="22"/>
      <c r="R9" s="22"/>
      <c r="S9" s="22"/>
      <c r="T9" s="22"/>
      <c r="U9" s="22"/>
      <c r="V9" s="22"/>
      <c r="W9" s="22"/>
      <c r="X9" s="22"/>
      <c r="Y9" s="22"/>
    </row>
    <row r="10" spans="1:25" ht="23.45" customHeight="1">
      <c r="A10" s="147" t="s">
        <v>32</v>
      </c>
      <c r="B10" s="147"/>
      <c r="C10" s="147"/>
      <c r="D10" s="147"/>
      <c r="E10" s="147"/>
      <c r="F10" s="143"/>
      <c r="G10" s="143"/>
      <c r="H10" s="143"/>
      <c r="I10" s="143"/>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45868</v>
      </c>
      <c r="D12" s="38">
        <v>45868</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0.69374999999999998</v>
      </c>
      <c r="D13" s="39">
        <v>0.72796296296296292</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7" t="s">
        <v>39</v>
      </c>
      <c r="B15" s="147"/>
      <c r="C15" s="147"/>
      <c r="D15" s="147"/>
      <c r="E15" s="147"/>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0.06</v>
      </c>
      <c r="D16">
        <v>0.09</v>
      </c>
      <c r="E16">
        <v>0.09</v>
      </c>
      <c r="F16">
        <v>7.0000000000000007E-2</v>
      </c>
      <c r="G16">
        <v>7.0000000000000007E-2</v>
      </c>
      <c r="I16" s="22" t="s">
        <v>305</v>
      </c>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221</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3" t="s">
        <v>53</v>
      </c>
      <c r="B24" s="143"/>
      <c r="C24" s="143"/>
      <c r="D24" s="143"/>
      <c r="E24" s="143"/>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-1.7</v>
      </c>
      <c r="D28" s="49" t="s">
        <v>62</v>
      </c>
      <c r="E28" s="49"/>
      <c r="F28" s="22">
        <v>-1.7</v>
      </c>
      <c r="G28" s="22" t="s">
        <v>303</v>
      </c>
      <c r="H28" s="22"/>
      <c r="I28" s="22"/>
      <c r="J28" s="22"/>
      <c r="K28" s="22"/>
      <c r="L28" s="22"/>
      <c r="M28" s="22"/>
      <c r="N28" s="22"/>
      <c r="O28" s="22"/>
      <c r="P28" s="22"/>
      <c r="Q28" s="22"/>
      <c r="R28" s="22"/>
      <c r="S28" s="22"/>
      <c r="T28" s="22"/>
      <c r="U28" s="22"/>
      <c r="V28" s="22"/>
      <c r="W28" s="22"/>
      <c r="X28" s="22"/>
      <c r="Y28" s="22"/>
    </row>
    <row r="29" spans="1:25" ht="24.2" customHeight="1">
      <c r="A29" s="143" t="s">
        <v>63</v>
      </c>
      <c r="B29" s="143"/>
      <c r="C29" s="143"/>
      <c r="D29" s="143"/>
      <c r="E29" s="143"/>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307</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308</v>
      </c>
      <c r="D31" s="52" t="s">
        <v>312</v>
      </c>
      <c r="E31" s="52" t="s">
        <v>313</v>
      </c>
      <c r="F31" s="52"/>
      <c r="G31" s="52" t="s">
        <v>304</v>
      </c>
      <c r="H31" s="52"/>
      <c r="I31" s="52"/>
      <c r="J31" s="52"/>
      <c r="K31" s="52"/>
      <c r="L31" s="52"/>
      <c r="M31" s="52"/>
      <c r="N31" s="52"/>
      <c r="O31" s="52"/>
      <c r="P31" s="52"/>
      <c r="Q31" s="52"/>
      <c r="R31" s="52"/>
      <c r="S31" s="52"/>
      <c r="T31" s="52"/>
      <c r="U31" s="52"/>
      <c r="V31" s="52"/>
      <c r="W31" s="22"/>
      <c r="X31" s="22"/>
      <c r="Y31" s="22"/>
    </row>
    <row r="32" spans="1:25">
      <c r="A32" s="45" t="s">
        <v>66</v>
      </c>
      <c r="B32" s="51"/>
      <c r="C32" s="48" t="s">
        <v>297</v>
      </c>
      <c r="D32" t="s">
        <v>299</v>
      </c>
      <c r="E32" t="s">
        <v>302</v>
      </c>
      <c r="H32" s="22"/>
      <c r="I32" s="22"/>
      <c r="J32" s="22"/>
      <c r="K32" s="22"/>
      <c r="L32" s="22"/>
      <c r="M32" s="22"/>
      <c r="N32" s="22"/>
      <c r="O32" s="22"/>
      <c r="P32" s="22"/>
      <c r="Q32" s="22"/>
      <c r="R32" s="22"/>
      <c r="S32" s="22"/>
      <c r="T32" s="22"/>
      <c r="U32" s="22"/>
      <c r="V32" s="22"/>
      <c r="W32" s="22"/>
      <c r="X32" s="22"/>
      <c r="Y32" s="22"/>
    </row>
    <row r="33" spans="1:25">
      <c r="A33" s="36" t="s">
        <v>67</v>
      </c>
      <c r="B33" s="53"/>
      <c r="C33" s="148"/>
      <c r="D33" s="148"/>
      <c r="E33" s="148"/>
      <c r="F33" s="148"/>
      <c r="G33" s="148"/>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3" t="s">
        <v>68</v>
      </c>
      <c r="B35" s="143"/>
      <c r="C35" s="143"/>
      <c r="D35" s="143"/>
      <c r="E35" s="143"/>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5</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266</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9" t="s">
        <v>79</v>
      </c>
      <c r="B41" s="149"/>
      <c r="C41" s="149"/>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0" t="s">
        <v>315</v>
      </c>
      <c r="B42" s="150"/>
      <c r="C42" s="150"/>
      <c r="D42" s="150"/>
      <c r="E42" s="150"/>
      <c r="F42" s="150"/>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topLeftCell="A21" zoomScale="85" zoomScaleNormal="85" workbookViewId="0">
      <selection activeCell="U35" sqref="U35"/>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v>0</v>
      </c>
      <c r="B5" s="140">
        <v>0.05</v>
      </c>
      <c r="C5" s="141">
        <f>AVERAGE(A5:B5)</f>
        <v>2.5000000000000001E-2</v>
      </c>
      <c r="D5" s="62" t="s">
        <v>316</v>
      </c>
      <c r="E5" s="62">
        <v>0.1</v>
      </c>
      <c r="F5" s="6">
        <v>0.44500000000000001</v>
      </c>
      <c r="G5" s="6">
        <v>19</v>
      </c>
      <c r="O5" s="9"/>
      <c r="P5" s="9"/>
      <c r="Q5" s="9"/>
      <c r="R5" s="9"/>
      <c r="S5" s="9"/>
      <c r="T5" s="9"/>
      <c r="U5" s="9"/>
      <c r="V5" s="9"/>
      <c r="W5" s="9"/>
      <c r="X5" s="9"/>
      <c r="Y5" s="9"/>
      <c r="Z5" s="9"/>
      <c r="AA5" s="9"/>
      <c r="AB5" s="9"/>
    </row>
    <row r="6" spans="1:1024">
      <c r="A6" s="140">
        <v>0.05</v>
      </c>
      <c r="B6" s="140">
        <v>0.1</v>
      </c>
      <c r="C6" s="141">
        <f t="shared" ref="C6:C40" si="0">AVERAGE(A6:B6)</f>
        <v>7.5000000000000011E-2</v>
      </c>
      <c r="D6" s="62" t="s">
        <v>317</v>
      </c>
      <c r="E6" s="62">
        <v>0.1</v>
      </c>
      <c r="F6" s="6">
        <v>0.34899999999999998</v>
      </c>
      <c r="G6" s="6">
        <v>15.9</v>
      </c>
      <c r="O6" s="9"/>
      <c r="P6" s="9"/>
      <c r="Q6" s="9"/>
      <c r="R6" s="9"/>
      <c r="S6" s="9"/>
      <c r="T6" s="9"/>
      <c r="U6" s="9"/>
      <c r="V6" s="9"/>
      <c r="W6" s="9"/>
      <c r="X6" s="9"/>
      <c r="Y6" s="9"/>
      <c r="Z6" s="9"/>
      <c r="AA6" s="9"/>
      <c r="AB6" s="9"/>
    </row>
    <row r="7" spans="1:1024">
      <c r="A7" s="140">
        <v>0.1</v>
      </c>
      <c r="B7" s="140">
        <v>0.15</v>
      </c>
      <c r="C7" s="141">
        <f t="shared" si="0"/>
        <v>0.125</v>
      </c>
      <c r="D7" s="62" t="s">
        <v>318</v>
      </c>
      <c r="E7" s="62">
        <v>0</v>
      </c>
      <c r="F7" s="6">
        <v>0.29599999999999999</v>
      </c>
      <c r="G7" s="6">
        <v>17.100000000000001</v>
      </c>
      <c r="O7" s="9"/>
      <c r="P7" s="9"/>
      <c r="Q7" s="9"/>
      <c r="R7" s="9"/>
      <c r="S7" s="9"/>
      <c r="T7" s="9"/>
      <c r="U7" s="9"/>
      <c r="V7" s="9"/>
      <c r="W7" s="9"/>
      <c r="X7" s="9"/>
      <c r="Y7" s="9"/>
      <c r="Z7" s="9"/>
      <c r="AA7" s="9"/>
      <c r="AB7" s="9"/>
    </row>
    <row r="8" spans="1:1024">
      <c r="A8" s="140">
        <v>0.15</v>
      </c>
      <c r="B8" s="140">
        <v>0.2</v>
      </c>
      <c r="C8" s="141">
        <f t="shared" si="0"/>
        <v>0.17499999999999999</v>
      </c>
      <c r="D8" s="62" t="s">
        <v>319</v>
      </c>
      <c r="E8" s="62">
        <v>0</v>
      </c>
      <c r="F8" s="6">
        <v>0.18210000000000001</v>
      </c>
      <c r="G8" s="6">
        <v>18</v>
      </c>
      <c r="O8" s="9"/>
      <c r="P8" s="9"/>
      <c r="Q8" s="9"/>
      <c r="R8" s="9"/>
      <c r="S8" s="9"/>
      <c r="T8" s="9"/>
      <c r="U8" s="9"/>
      <c r="V8" s="9"/>
      <c r="W8" s="9"/>
      <c r="X8" s="9"/>
      <c r="Y8" s="9"/>
      <c r="Z8" s="9"/>
      <c r="AA8" s="9"/>
      <c r="AB8" s="9"/>
    </row>
    <row r="9" spans="1:1024">
      <c r="A9" s="140">
        <v>0.2</v>
      </c>
      <c r="B9" s="140">
        <v>0.25</v>
      </c>
      <c r="C9" s="141">
        <f t="shared" si="0"/>
        <v>0.22500000000000001</v>
      </c>
      <c r="D9" s="62" t="s">
        <v>320</v>
      </c>
      <c r="E9" s="62">
        <v>0</v>
      </c>
      <c r="F9" s="6">
        <v>0.23</v>
      </c>
      <c r="G9" s="6">
        <v>14.9</v>
      </c>
      <c r="O9" s="9"/>
      <c r="P9" s="9"/>
      <c r="Q9" s="9"/>
      <c r="R9" s="9"/>
      <c r="S9" s="9"/>
      <c r="T9" s="9"/>
      <c r="U9" s="9"/>
      <c r="V9" s="9"/>
      <c r="W9" s="9"/>
      <c r="X9" s="9"/>
      <c r="Y9" s="9"/>
      <c r="Z9" s="9"/>
      <c r="AA9" s="9"/>
      <c r="AB9" s="9"/>
    </row>
    <row r="10" spans="1:1024">
      <c r="A10" s="140">
        <v>0.25</v>
      </c>
      <c r="B10" s="140">
        <v>0.3</v>
      </c>
      <c r="C10" s="141">
        <f t="shared" si="0"/>
        <v>0.27500000000000002</v>
      </c>
      <c r="D10" s="62" t="s">
        <v>321</v>
      </c>
      <c r="E10" s="62">
        <v>0.2</v>
      </c>
      <c r="F10" s="6">
        <v>0.50800000000000001</v>
      </c>
      <c r="G10" s="6">
        <v>13.1</v>
      </c>
      <c r="O10" s="9"/>
      <c r="P10" s="9"/>
      <c r="Q10" s="9"/>
      <c r="R10" s="9"/>
      <c r="S10" s="9"/>
      <c r="T10" s="9"/>
      <c r="U10" s="9"/>
      <c r="V10" s="9"/>
      <c r="W10" s="9"/>
      <c r="X10" s="9"/>
      <c r="Y10" s="9"/>
      <c r="Z10" s="9"/>
      <c r="AA10" s="9"/>
      <c r="AB10" s="9"/>
    </row>
    <row r="11" spans="1:1024">
      <c r="A11" s="140">
        <v>0.3</v>
      </c>
      <c r="B11" s="140">
        <v>0.35</v>
      </c>
      <c r="C11" s="141">
        <f t="shared" si="0"/>
        <v>0.32499999999999996</v>
      </c>
      <c r="D11" s="62" t="s">
        <v>322</v>
      </c>
      <c r="E11" s="62">
        <v>0.4</v>
      </c>
      <c r="F11" s="6">
        <v>0.89700000000000002</v>
      </c>
      <c r="G11" s="6">
        <v>9.1999999999999993</v>
      </c>
      <c r="O11" s="9"/>
      <c r="P11" s="9"/>
      <c r="Q11" s="9"/>
      <c r="R11" s="9"/>
      <c r="S11" s="9"/>
      <c r="T11" s="9"/>
      <c r="U11" s="9"/>
      <c r="V11" s="9"/>
      <c r="W11" s="9"/>
      <c r="X11" s="9"/>
      <c r="Y11" s="9"/>
      <c r="Z11" s="9"/>
      <c r="AA11" s="9"/>
      <c r="AB11" s="9"/>
    </row>
    <row r="12" spans="1:1024">
      <c r="A12" s="140">
        <v>0.35</v>
      </c>
      <c r="B12" s="140">
        <v>0.4</v>
      </c>
      <c r="C12" s="141">
        <f t="shared" si="0"/>
        <v>0.375</v>
      </c>
      <c r="D12" s="62" t="s">
        <v>323</v>
      </c>
      <c r="E12" s="62">
        <v>0.5</v>
      </c>
      <c r="F12" s="6">
        <v>1.1910000000000001</v>
      </c>
      <c r="G12" s="6">
        <v>13.7</v>
      </c>
      <c r="O12" s="9"/>
      <c r="P12" s="9"/>
      <c r="Q12" s="9"/>
      <c r="R12" s="9"/>
      <c r="S12" s="9"/>
      <c r="T12" s="9"/>
      <c r="U12" s="9"/>
      <c r="V12" s="9"/>
      <c r="W12" s="9"/>
      <c r="X12" s="9"/>
      <c r="Y12" s="9"/>
      <c r="Z12" s="9"/>
      <c r="AA12" s="9"/>
      <c r="AB12" s="9"/>
    </row>
    <row r="13" spans="1:1024">
      <c r="A13" s="140">
        <v>0.4</v>
      </c>
      <c r="B13" s="140">
        <v>0.45</v>
      </c>
      <c r="C13" s="141">
        <f t="shared" si="0"/>
        <v>0.42500000000000004</v>
      </c>
      <c r="D13" s="62" t="s">
        <v>324</v>
      </c>
      <c r="E13" s="62">
        <v>0.7</v>
      </c>
      <c r="F13" s="6">
        <v>1.4359999999999999</v>
      </c>
      <c r="G13" s="6">
        <v>13</v>
      </c>
      <c r="O13" s="9"/>
      <c r="P13" s="9"/>
      <c r="Q13" s="9"/>
      <c r="R13" s="9"/>
      <c r="S13" s="9"/>
      <c r="T13" s="9"/>
      <c r="U13" s="9"/>
      <c r="V13" s="9"/>
      <c r="W13" s="9"/>
      <c r="X13" s="9"/>
      <c r="Y13" s="9"/>
      <c r="Z13" s="9"/>
      <c r="AA13" s="9"/>
      <c r="AB13" s="9"/>
    </row>
    <row r="14" spans="1:1024">
      <c r="A14" s="140">
        <v>0.45</v>
      </c>
      <c r="B14" s="140">
        <v>0.5</v>
      </c>
      <c r="C14" s="141">
        <f t="shared" si="0"/>
        <v>0.47499999999999998</v>
      </c>
      <c r="D14" s="62" t="s">
        <v>325</v>
      </c>
      <c r="E14" s="62">
        <v>1.1000000000000001</v>
      </c>
      <c r="F14" s="6">
        <v>2.21</v>
      </c>
      <c r="G14" s="6">
        <v>9.6999999999999993</v>
      </c>
      <c r="O14" s="9"/>
      <c r="P14" s="9"/>
      <c r="Q14" s="9"/>
      <c r="R14" s="9"/>
      <c r="S14" s="9"/>
      <c r="T14" s="9"/>
      <c r="U14" s="9"/>
      <c r="V14" s="9"/>
      <c r="W14" s="9"/>
      <c r="X14" s="9"/>
      <c r="Y14" s="9"/>
      <c r="Z14" s="9"/>
      <c r="AA14" s="9"/>
      <c r="AB14" s="9"/>
    </row>
    <row r="15" spans="1:1024">
      <c r="A15" s="140">
        <v>0.5</v>
      </c>
      <c r="B15" s="140">
        <v>0.55000000000000004</v>
      </c>
      <c r="C15" s="141">
        <f t="shared" si="0"/>
        <v>0.52500000000000002</v>
      </c>
      <c r="D15" s="62" t="s">
        <v>345</v>
      </c>
      <c r="E15" s="62">
        <v>1.4</v>
      </c>
      <c r="F15" s="6">
        <v>2.72</v>
      </c>
      <c r="G15" s="6">
        <v>14.8</v>
      </c>
      <c r="O15" s="9"/>
      <c r="P15" s="9"/>
      <c r="Q15" s="9"/>
      <c r="R15" s="9"/>
      <c r="S15" s="9"/>
      <c r="T15" s="9"/>
      <c r="U15" s="9"/>
      <c r="V15" s="9"/>
      <c r="W15" s="9"/>
      <c r="X15" s="9"/>
      <c r="Y15" s="9"/>
      <c r="Z15" s="9"/>
      <c r="AA15" s="9"/>
      <c r="AB15" s="9"/>
    </row>
    <row r="16" spans="1:1024">
      <c r="A16" s="140">
        <v>0.55000000000000004</v>
      </c>
      <c r="B16" s="140">
        <v>0.6</v>
      </c>
      <c r="C16" s="141">
        <f t="shared" si="0"/>
        <v>0.57499999999999996</v>
      </c>
      <c r="D16" s="62"/>
      <c r="E16" s="62">
        <v>1.7</v>
      </c>
      <c r="F16" s="6">
        <v>3.38</v>
      </c>
      <c r="G16" s="6">
        <v>16.8</v>
      </c>
      <c r="O16" s="9"/>
      <c r="P16" s="9"/>
      <c r="Q16" s="9"/>
      <c r="R16" s="9"/>
      <c r="S16" s="9"/>
      <c r="T16" s="9"/>
      <c r="U16" s="9"/>
      <c r="V16" s="9"/>
      <c r="W16" s="9"/>
      <c r="X16" s="9"/>
      <c r="Y16" s="9"/>
      <c r="Z16" s="9"/>
      <c r="AA16" s="9"/>
      <c r="AB16" s="9"/>
    </row>
    <row r="17" spans="1:28">
      <c r="A17" s="140">
        <v>0.6</v>
      </c>
      <c r="B17" s="140">
        <v>0.65</v>
      </c>
      <c r="C17" s="141">
        <f t="shared" si="0"/>
        <v>0.625</v>
      </c>
      <c r="D17" s="62"/>
      <c r="E17" s="62">
        <v>1.6</v>
      </c>
      <c r="F17" s="6">
        <v>3.14</v>
      </c>
      <c r="G17" s="6">
        <v>16.2</v>
      </c>
      <c r="O17" s="9"/>
      <c r="P17" s="9"/>
      <c r="Q17" s="9"/>
      <c r="R17" s="9"/>
      <c r="S17" s="9"/>
      <c r="T17" s="9"/>
      <c r="U17" s="9"/>
      <c r="V17" s="9"/>
      <c r="W17" s="9"/>
      <c r="X17" s="9"/>
      <c r="Y17" s="9"/>
      <c r="Z17" s="9"/>
      <c r="AA17" s="9"/>
      <c r="AB17" s="9"/>
    </row>
    <row r="18" spans="1:28">
      <c r="A18" s="140">
        <v>0.65</v>
      </c>
      <c r="B18" s="140">
        <v>0.7</v>
      </c>
      <c r="C18" s="141">
        <f t="shared" si="0"/>
        <v>0.67500000000000004</v>
      </c>
      <c r="D18" s="62"/>
      <c r="E18" s="62">
        <v>1.8</v>
      </c>
      <c r="F18" s="6">
        <v>3.42</v>
      </c>
      <c r="G18" s="6">
        <v>15.8</v>
      </c>
      <c r="O18" s="9"/>
      <c r="P18" s="9"/>
      <c r="Q18" s="9"/>
      <c r="R18" s="9"/>
      <c r="S18" s="9"/>
      <c r="T18" s="9"/>
      <c r="U18" s="9"/>
      <c r="V18" s="9"/>
      <c r="W18" s="9"/>
      <c r="X18" s="9"/>
      <c r="Y18" s="9"/>
      <c r="Z18" s="9"/>
      <c r="AA18" s="9"/>
      <c r="AB18" s="9"/>
    </row>
    <row r="19" spans="1:28">
      <c r="A19" s="140">
        <v>0.7</v>
      </c>
      <c r="B19" s="140">
        <v>0.75</v>
      </c>
      <c r="C19" s="141">
        <f t="shared" si="0"/>
        <v>0.72499999999999998</v>
      </c>
      <c r="D19" s="62"/>
      <c r="E19" s="62">
        <v>1.9</v>
      </c>
      <c r="F19" s="6">
        <v>3.71</v>
      </c>
      <c r="G19" s="6">
        <v>8.9</v>
      </c>
      <c r="O19" s="9"/>
      <c r="P19" s="9"/>
      <c r="Q19" s="9"/>
      <c r="R19" s="9"/>
      <c r="S19" s="9"/>
      <c r="T19" s="9"/>
      <c r="U19" s="9"/>
      <c r="V19" s="9"/>
      <c r="W19" s="9"/>
      <c r="X19" s="9"/>
      <c r="Y19" s="9"/>
      <c r="Z19" s="9"/>
      <c r="AA19" s="9"/>
      <c r="AB19" s="9"/>
    </row>
    <row r="20" spans="1:28">
      <c r="A20" s="140">
        <v>0.75</v>
      </c>
      <c r="B20" s="140">
        <v>0.8</v>
      </c>
      <c r="C20" s="141">
        <f t="shared" si="0"/>
        <v>0.77500000000000002</v>
      </c>
      <c r="D20" s="62"/>
      <c r="E20" s="62">
        <v>1.9</v>
      </c>
      <c r="F20" s="6">
        <v>3.79</v>
      </c>
      <c r="G20" s="6">
        <v>7.9</v>
      </c>
      <c r="O20" s="9"/>
      <c r="P20" s="9"/>
      <c r="Q20" s="9"/>
      <c r="R20" s="9"/>
      <c r="S20" s="9"/>
      <c r="T20" s="9"/>
      <c r="U20" s="9"/>
      <c r="V20" s="9"/>
      <c r="W20" s="9"/>
      <c r="X20" s="9"/>
      <c r="Y20" s="9"/>
      <c r="Z20" s="9"/>
      <c r="AA20" s="9"/>
      <c r="AB20" s="9"/>
    </row>
    <row r="21" spans="1:28">
      <c r="A21" s="140">
        <v>0.8</v>
      </c>
      <c r="B21" s="140">
        <v>0.85</v>
      </c>
      <c r="C21" s="141">
        <f t="shared" si="0"/>
        <v>0.82499999999999996</v>
      </c>
      <c r="D21" s="62"/>
      <c r="E21" s="62">
        <v>1.7</v>
      </c>
      <c r="F21" s="6">
        <v>3.4</v>
      </c>
      <c r="G21" s="6">
        <v>9.3000000000000007</v>
      </c>
      <c r="O21" s="9"/>
      <c r="P21" s="9"/>
      <c r="Q21" s="9"/>
      <c r="R21" s="9"/>
      <c r="S21" s="9"/>
      <c r="T21" s="9"/>
      <c r="U21" s="9"/>
      <c r="V21" s="9"/>
      <c r="W21" s="9"/>
      <c r="X21" s="9"/>
      <c r="Y21" s="9"/>
      <c r="Z21" s="9"/>
      <c r="AA21" s="9"/>
      <c r="AB21" s="9"/>
    </row>
    <row r="22" spans="1:28">
      <c r="A22" s="140">
        <v>0.85</v>
      </c>
      <c r="B22" s="140">
        <v>0.9</v>
      </c>
      <c r="C22" s="141">
        <f t="shared" si="0"/>
        <v>0.875</v>
      </c>
      <c r="D22" s="62"/>
      <c r="E22" s="62">
        <v>1.8</v>
      </c>
      <c r="F22" s="6">
        <v>3.46</v>
      </c>
      <c r="G22" s="6">
        <v>17.5</v>
      </c>
      <c r="O22" s="9"/>
      <c r="P22" s="9"/>
      <c r="Q22" s="9"/>
      <c r="R22" s="9"/>
      <c r="S22" s="9"/>
      <c r="T22" s="9"/>
      <c r="U22" s="9"/>
      <c r="V22" s="9"/>
      <c r="W22" s="9"/>
      <c r="X22" s="9"/>
      <c r="Y22" s="9"/>
      <c r="Z22" s="9"/>
      <c r="AA22" s="9"/>
      <c r="AB22" s="9"/>
    </row>
    <row r="23" spans="1:28">
      <c r="A23" s="140">
        <v>0.9</v>
      </c>
      <c r="B23" s="140">
        <v>0.95</v>
      </c>
      <c r="C23" s="141">
        <f t="shared" si="0"/>
        <v>0.92500000000000004</v>
      </c>
      <c r="D23" s="62"/>
      <c r="E23" s="62">
        <v>1.9</v>
      </c>
      <c r="F23" s="6">
        <v>3.7</v>
      </c>
      <c r="G23" s="6">
        <v>15.5</v>
      </c>
      <c r="O23" s="9"/>
      <c r="P23" s="9"/>
      <c r="Q23" s="9"/>
      <c r="R23" s="9"/>
      <c r="S23" s="9"/>
      <c r="T23" s="9"/>
      <c r="U23" s="9"/>
      <c r="V23" s="9"/>
      <c r="W23" s="9"/>
      <c r="X23" s="9"/>
      <c r="Y23" s="9"/>
      <c r="Z23" s="9"/>
      <c r="AA23" s="9"/>
      <c r="AB23" s="9"/>
    </row>
    <row r="24" spans="1:28">
      <c r="A24" s="140">
        <v>0.95</v>
      </c>
      <c r="B24" s="140">
        <v>1</v>
      </c>
      <c r="C24" s="141">
        <f t="shared" si="0"/>
        <v>0.97499999999999998</v>
      </c>
      <c r="D24" s="62"/>
      <c r="E24" s="62">
        <v>1.9</v>
      </c>
      <c r="F24" s="6">
        <v>3.59</v>
      </c>
      <c r="G24" s="6">
        <v>15.4</v>
      </c>
      <c r="O24" s="9"/>
      <c r="P24" s="9"/>
      <c r="Q24" s="9"/>
      <c r="R24" s="9"/>
      <c r="S24" s="9"/>
      <c r="T24" s="9"/>
      <c r="U24" s="9"/>
      <c r="V24" s="9"/>
      <c r="W24" s="9"/>
      <c r="X24" s="9"/>
      <c r="Y24" s="9"/>
      <c r="Z24" s="9"/>
      <c r="AA24" s="9"/>
      <c r="AB24" s="9"/>
    </row>
    <row r="25" spans="1:28">
      <c r="A25" s="140">
        <v>1</v>
      </c>
      <c r="B25" s="140">
        <v>1.05</v>
      </c>
      <c r="C25" s="141">
        <f t="shared" si="0"/>
        <v>1.0249999999999999</v>
      </c>
      <c r="D25" s="62"/>
      <c r="E25" s="62">
        <v>2.7</v>
      </c>
      <c r="F25" s="6">
        <v>5.12</v>
      </c>
      <c r="G25" s="6">
        <v>16.100000000000001</v>
      </c>
      <c r="O25" s="9"/>
      <c r="P25" s="9"/>
      <c r="Q25" s="9"/>
      <c r="R25" s="9"/>
      <c r="S25" s="9"/>
      <c r="T25" s="9"/>
      <c r="U25" s="9"/>
      <c r="V25" s="9"/>
      <c r="W25" s="9"/>
      <c r="X25" s="9"/>
      <c r="Y25" s="9"/>
      <c r="Z25" s="9"/>
      <c r="AA25" s="9"/>
      <c r="AB25" s="9"/>
    </row>
    <row r="26" spans="1:28">
      <c r="A26" s="140">
        <v>1.05</v>
      </c>
      <c r="B26" s="140">
        <v>1.1000000000000001</v>
      </c>
      <c r="C26" s="141">
        <f t="shared" si="0"/>
        <v>1.0750000000000002</v>
      </c>
      <c r="D26" s="62"/>
      <c r="E26" s="62">
        <v>3.1</v>
      </c>
      <c r="F26" s="6">
        <v>5.71</v>
      </c>
      <c r="G26" s="6">
        <v>16</v>
      </c>
      <c r="O26" s="9"/>
      <c r="P26" s="9"/>
      <c r="Q26" s="9"/>
      <c r="R26" s="9"/>
      <c r="S26" s="9"/>
      <c r="T26" s="9"/>
      <c r="U26" s="9"/>
      <c r="V26" s="9"/>
      <c r="W26" s="9"/>
      <c r="X26" s="9"/>
      <c r="Y26" s="9"/>
      <c r="Z26" s="9"/>
      <c r="AA26" s="9"/>
      <c r="AB26" s="9"/>
    </row>
    <row r="27" spans="1:28" ht="26.1" customHeight="1">
      <c r="A27" s="140">
        <v>1.1000000000000001</v>
      </c>
      <c r="B27" s="140">
        <v>1.1499999999999999</v>
      </c>
      <c r="C27" s="141">
        <f t="shared" si="0"/>
        <v>1.125</v>
      </c>
      <c r="D27" s="62"/>
      <c r="E27" s="62">
        <v>3.1</v>
      </c>
      <c r="F27" s="6">
        <v>5.82</v>
      </c>
      <c r="G27" s="6">
        <v>15</v>
      </c>
      <c r="O27" s="2"/>
      <c r="P27" s="2"/>
      <c r="Q27" s="2"/>
      <c r="R27" s="2"/>
      <c r="S27" s="2"/>
      <c r="T27" s="2"/>
      <c r="U27" s="2"/>
      <c r="V27" s="2"/>
      <c r="W27" s="2"/>
      <c r="X27" s="2"/>
      <c r="Y27" s="2"/>
      <c r="Z27" s="2"/>
      <c r="AA27" s="2"/>
      <c r="AB27" s="2"/>
    </row>
    <row r="28" spans="1:28">
      <c r="A28" s="140">
        <v>1.1499999999999999</v>
      </c>
      <c r="B28" s="140">
        <v>1.2</v>
      </c>
      <c r="C28" s="141">
        <f t="shared" si="0"/>
        <v>1.1749999999999998</v>
      </c>
      <c r="D28" s="62"/>
      <c r="E28" s="62">
        <v>3.2</v>
      </c>
      <c r="F28" s="6">
        <v>5.93</v>
      </c>
      <c r="G28" s="6">
        <v>15.4</v>
      </c>
      <c r="O28" s="2"/>
      <c r="P28" s="2"/>
      <c r="Q28" s="2"/>
      <c r="R28" s="2"/>
      <c r="S28" s="2"/>
      <c r="T28" s="2"/>
      <c r="U28" s="2"/>
      <c r="V28" s="2"/>
      <c r="W28" s="2"/>
      <c r="X28" s="2"/>
      <c r="Y28" s="2"/>
      <c r="Z28" s="2"/>
      <c r="AA28" s="2"/>
      <c r="AB28" s="2"/>
    </row>
    <row r="29" spans="1:28">
      <c r="A29" s="140">
        <v>1.2</v>
      </c>
      <c r="B29" s="140">
        <v>1.25</v>
      </c>
      <c r="C29" s="141">
        <f t="shared" si="0"/>
        <v>1.2250000000000001</v>
      </c>
      <c r="D29" s="62"/>
      <c r="E29" s="62">
        <v>3.4</v>
      </c>
      <c r="F29" s="6">
        <v>6.38</v>
      </c>
      <c r="G29" s="6">
        <v>8.1</v>
      </c>
      <c r="O29" s="9"/>
      <c r="P29" s="9"/>
      <c r="Q29" s="9"/>
      <c r="R29" s="9"/>
      <c r="S29" s="9"/>
      <c r="T29" s="9"/>
      <c r="U29" s="9"/>
      <c r="V29" s="9"/>
      <c r="W29" s="9"/>
      <c r="X29" s="9"/>
      <c r="Y29" s="9"/>
      <c r="Z29" s="9"/>
      <c r="AA29" s="9"/>
      <c r="AB29" s="9"/>
    </row>
    <row r="30" spans="1:28">
      <c r="A30" s="140">
        <v>1.25</v>
      </c>
      <c r="B30" s="140">
        <v>1.3</v>
      </c>
      <c r="C30" s="141">
        <f t="shared" si="0"/>
        <v>1.2749999999999999</v>
      </c>
      <c r="D30" s="62"/>
      <c r="E30" s="62">
        <v>3.5</v>
      </c>
      <c r="F30" s="6">
        <v>6.59</v>
      </c>
      <c r="G30" s="6">
        <v>11.3</v>
      </c>
      <c r="O30" s="9"/>
      <c r="P30" s="9"/>
      <c r="Q30" s="9"/>
      <c r="R30" s="9"/>
      <c r="S30" s="9"/>
      <c r="T30" s="9"/>
      <c r="U30" s="9"/>
      <c r="V30" s="9"/>
      <c r="W30" s="9"/>
      <c r="X30" s="9"/>
      <c r="Y30" s="9"/>
      <c r="Z30" s="9"/>
      <c r="AA30" s="9"/>
      <c r="AB30" s="9"/>
    </row>
    <row r="31" spans="1:28">
      <c r="A31" s="140">
        <v>1.3</v>
      </c>
      <c r="B31" s="140">
        <v>1.35</v>
      </c>
      <c r="C31" s="141">
        <f t="shared" si="0"/>
        <v>1.3250000000000002</v>
      </c>
      <c r="D31" s="62"/>
      <c r="E31" s="62">
        <v>3.2</v>
      </c>
      <c r="F31" s="6">
        <v>6.01</v>
      </c>
      <c r="G31" s="6">
        <v>17.5</v>
      </c>
      <c r="O31" s="9"/>
      <c r="P31" s="9"/>
      <c r="Q31" s="9"/>
      <c r="R31" s="9"/>
      <c r="S31" s="9"/>
      <c r="T31" s="9"/>
      <c r="U31" s="9"/>
      <c r="V31" s="9"/>
      <c r="W31" s="9"/>
      <c r="X31" s="9"/>
      <c r="Y31" s="9"/>
      <c r="Z31" s="9"/>
      <c r="AA31" s="9"/>
      <c r="AB31" s="9"/>
    </row>
    <row r="32" spans="1:28">
      <c r="A32" s="140">
        <v>1.38</v>
      </c>
      <c r="B32" s="140">
        <v>1.4</v>
      </c>
      <c r="C32" s="141">
        <f t="shared" si="0"/>
        <v>1.39</v>
      </c>
      <c r="D32" s="62"/>
      <c r="E32" s="62">
        <v>3.1</v>
      </c>
      <c r="F32" s="6">
        <v>5.76</v>
      </c>
      <c r="G32" s="6">
        <v>12.5</v>
      </c>
      <c r="O32" s="9"/>
      <c r="P32" s="9"/>
      <c r="Q32" s="9"/>
      <c r="R32" s="9"/>
      <c r="S32" s="9"/>
      <c r="T32" s="9"/>
      <c r="U32" s="9"/>
      <c r="V32" s="9"/>
      <c r="W32" s="9"/>
      <c r="X32" s="9"/>
      <c r="Y32" s="9"/>
      <c r="Z32" s="9"/>
      <c r="AA32" s="9"/>
      <c r="AB32" s="9"/>
    </row>
    <row r="33" spans="1:28">
      <c r="A33" s="140">
        <v>1.4</v>
      </c>
      <c r="B33" s="140">
        <v>1.45</v>
      </c>
      <c r="C33" s="141">
        <f t="shared" si="0"/>
        <v>1.4249999999999998</v>
      </c>
      <c r="D33" s="62"/>
      <c r="E33" s="62">
        <v>3.3</v>
      </c>
      <c r="F33" s="6">
        <v>6.1</v>
      </c>
      <c r="G33" s="6">
        <v>11.7</v>
      </c>
      <c r="O33" s="9"/>
      <c r="P33" s="9"/>
      <c r="Q33" s="9"/>
      <c r="R33" s="9"/>
      <c r="S33" s="9"/>
      <c r="T33" s="9"/>
      <c r="U33" s="9"/>
      <c r="V33" s="9"/>
      <c r="W33" s="9"/>
      <c r="X33" s="9"/>
      <c r="Y33" s="9"/>
      <c r="Z33" s="9"/>
      <c r="AA33" s="9"/>
      <c r="AB33" s="9"/>
    </row>
    <row r="34" spans="1:28">
      <c r="A34" s="140">
        <v>1.45</v>
      </c>
      <c r="B34" s="140">
        <v>1.5</v>
      </c>
      <c r="C34" s="141">
        <f t="shared" si="0"/>
        <v>1.4750000000000001</v>
      </c>
      <c r="D34" s="62"/>
      <c r="E34" s="62">
        <v>3.2</v>
      </c>
      <c r="F34" s="6">
        <v>5.99</v>
      </c>
      <c r="G34" s="6">
        <v>18.2</v>
      </c>
      <c r="O34" s="9"/>
      <c r="P34" s="9"/>
      <c r="Q34" s="9"/>
      <c r="R34" s="9"/>
      <c r="S34" s="9"/>
      <c r="T34" s="9"/>
      <c r="U34" s="9"/>
      <c r="V34" s="9"/>
      <c r="W34" s="9"/>
      <c r="X34" s="9"/>
      <c r="Y34" s="9"/>
      <c r="Z34" s="9"/>
      <c r="AA34" s="9"/>
      <c r="AB34" s="9"/>
    </row>
    <row r="35" spans="1:28">
      <c r="A35" s="140">
        <v>1.5</v>
      </c>
      <c r="B35" s="140">
        <v>1.55</v>
      </c>
      <c r="C35" s="141">
        <f t="shared" si="0"/>
        <v>1.5249999999999999</v>
      </c>
      <c r="D35" s="62"/>
      <c r="E35" s="62">
        <v>2.9</v>
      </c>
      <c r="F35" s="6">
        <v>5.47</v>
      </c>
      <c r="G35" s="6">
        <v>11.5</v>
      </c>
      <c r="O35" s="9"/>
      <c r="P35" s="9"/>
      <c r="Q35" s="9"/>
      <c r="R35" s="9"/>
      <c r="S35" s="9"/>
      <c r="T35" s="9"/>
      <c r="U35" s="9"/>
      <c r="V35" s="9"/>
      <c r="W35" s="9"/>
      <c r="X35" s="9"/>
      <c r="Y35" s="9"/>
      <c r="Z35" s="9"/>
      <c r="AA35" s="9"/>
      <c r="AB35" s="9"/>
    </row>
    <row r="36" spans="1:28">
      <c r="A36" s="140">
        <v>1.55</v>
      </c>
      <c r="B36" s="140">
        <v>1.6</v>
      </c>
      <c r="C36" s="141">
        <f t="shared" si="0"/>
        <v>1.5750000000000002</v>
      </c>
      <c r="D36" s="62"/>
      <c r="E36" s="62">
        <v>2.8</v>
      </c>
      <c r="F36" s="6">
        <v>5.29</v>
      </c>
      <c r="G36" s="6">
        <v>16.899999999999999</v>
      </c>
      <c r="O36" s="9"/>
      <c r="P36" s="9"/>
      <c r="Q36" s="9"/>
      <c r="R36" s="9"/>
      <c r="S36" s="9"/>
      <c r="T36" s="9"/>
      <c r="U36" s="9"/>
      <c r="V36" s="9"/>
      <c r="W36" s="9"/>
      <c r="X36" s="9"/>
      <c r="Y36" s="9"/>
      <c r="Z36" s="9"/>
      <c r="AA36" s="9"/>
      <c r="AB36" s="9"/>
    </row>
    <row r="37" spans="1:28">
      <c r="A37" s="140">
        <v>1.6</v>
      </c>
      <c r="B37" s="140">
        <v>1.65</v>
      </c>
      <c r="C37" s="141">
        <f t="shared" si="0"/>
        <v>1.625</v>
      </c>
      <c r="D37" s="62"/>
      <c r="E37" s="62">
        <v>2</v>
      </c>
      <c r="F37" s="6">
        <v>3.87</v>
      </c>
      <c r="G37" s="6">
        <v>16.899999999999999</v>
      </c>
      <c r="O37" s="9"/>
      <c r="P37" s="9"/>
      <c r="Q37" s="9"/>
      <c r="R37" s="9"/>
      <c r="S37" s="9"/>
      <c r="T37" s="9"/>
      <c r="U37" s="9"/>
      <c r="V37" s="9"/>
      <c r="W37" s="9"/>
      <c r="X37" s="9"/>
      <c r="Y37" s="9"/>
      <c r="Z37" s="9"/>
      <c r="AA37" s="9"/>
      <c r="AB37" s="9"/>
    </row>
    <row r="38" spans="1:28">
      <c r="A38" s="140">
        <v>1.65</v>
      </c>
      <c r="B38" s="140">
        <v>1.7</v>
      </c>
      <c r="C38" s="141">
        <f t="shared" si="0"/>
        <v>1.6749999999999998</v>
      </c>
      <c r="D38" s="62"/>
      <c r="E38" s="62">
        <v>1.9</v>
      </c>
      <c r="F38" s="6">
        <v>3.69</v>
      </c>
      <c r="G38" s="6">
        <v>17.899999999999999</v>
      </c>
      <c r="O38" s="9"/>
      <c r="P38" s="9"/>
      <c r="Q38" s="9"/>
      <c r="R38" s="9"/>
      <c r="S38" s="9"/>
      <c r="T38" s="9"/>
      <c r="U38" s="9"/>
      <c r="V38" s="9"/>
      <c r="W38" s="9"/>
      <c r="X38" s="9"/>
      <c r="Y38" s="9"/>
      <c r="Z38" s="9"/>
      <c r="AA38" s="9"/>
      <c r="AB38" s="9"/>
    </row>
    <row r="39" spans="1:28">
      <c r="A39" s="140">
        <v>1.7</v>
      </c>
      <c r="B39" s="140">
        <v>1.75</v>
      </c>
      <c r="C39" s="141">
        <f t="shared" si="0"/>
        <v>1.7250000000000001</v>
      </c>
      <c r="D39" s="62"/>
      <c r="E39" s="62">
        <v>1.8</v>
      </c>
      <c r="F39" s="6">
        <v>3.45</v>
      </c>
      <c r="G39" s="6">
        <v>11.9</v>
      </c>
      <c r="O39" s="9"/>
      <c r="P39" s="9"/>
      <c r="Q39" s="9"/>
      <c r="R39" s="9"/>
      <c r="S39" s="9"/>
      <c r="T39" s="9"/>
      <c r="U39" s="9"/>
      <c r="V39" s="9"/>
      <c r="W39" s="9"/>
      <c r="X39" s="9"/>
      <c r="Y39" s="9"/>
      <c r="Z39" s="9"/>
      <c r="AA39" s="9"/>
      <c r="AB39" s="9"/>
    </row>
    <row r="40" spans="1:28">
      <c r="A40" s="140">
        <v>1.75</v>
      </c>
      <c r="B40" s="140">
        <v>1.8</v>
      </c>
      <c r="C40" s="141">
        <f t="shared" si="0"/>
        <v>1.7749999999999999</v>
      </c>
      <c r="D40" s="62"/>
      <c r="E40" s="62">
        <v>1.6</v>
      </c>
      <c r="F40" s="6">
        <v>3.16</v>
      </c>
      <c r="G40" s="6">
        <v>14.9</v>
      </c>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1"/>
      <c r="F46" s="151"/>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7" sqref="C7:E7"/>
    </sheetView>
  </sheetViews>
  <sheetFormatPr defaultColWidth="8.85546875" defaultRowHeight="12"/>
  <cols>
    <col min="1" max="1" width="19.42578125" customWidth="1"/>
    <col min="2" max="5" width="13.7109375" customWidth="1"/>
  </cols>
  <sheetData>
    <row r="1" spans="1:26">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2" t="s">
        <v>95</v>
      </c>
      <c r="D2" s="152"/>
      <c r="E2" s="152"/>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3" t="s">
        <v>1</v>
      </c>
      <c r="D3" s="153"/>
      <c r="E3" s="153"/>
      <c r="F3" s="67"/>
      <c r="G3" s="67"/>
      <c r="H3" s="67"/>
      <c r="I3" s="67"/>
      <c r="J3" s="67"/>
      <c r="K3" s="67"/>
      <c r="L3" s="67"/>
      <c r="M3" s="67"/>
      <c r="N3" s="67"/>
      <c r="O3" s="67"/>
      <c r="P3" s="67"/>
      <c r="Q3" s="67"/>
      <c r="R3" s="67"/>
      <c r="S3" s="67"/>
      <c r="T3" s="67"/>
      <c r="U3" s="67"/>
      <c r="V3" s="67"/>
      <c r="W3" s="67"/>
      <c r="X3" s="67"/>
      <c r="Y3" s="67"/>
      <c r="Z3" s="67"/>
    </row>
    <row r="4" spans="1:26" ht="15.75">
      <c r="A4" s="69"/>
      <c r="B4" s="69"/>
      <c r="C4" s="154" t="s">
        <v>331</v>
      </c>
      <c r="D4" s="154"/>
      <c r="E4" s="154"/>
      <c r="F4" s="22"/>
      <c r="G4" s="22"/>
      <c r="H4" s="22"/>
      <c r="I4" s="22"/>
      <c r="J4" s="22"/>
      <c r="K4" s="22"/>
      <c r="L4" s="22"/>
      <c r="M4" s="22"/>
      <c r="N4" s="22"/>
      <c r="O4" s="22"/>
      <c r="P4" s="22"/>
      <c r="Q4" s="22"/>
      <c r="R4" s="22"/>
      <c r="S4" s="22"/>
      <c r="T4" s="22"/>
      <c r="U4" s="22"/>
      <c r="V4" s="22"/>
      <c r="W4" s="22"/>
      <c r="X4" s="22"/>
      <c r="Y4" s="22"/>
      <c r="Z4" s="22"/>
    </row>
    <row r="5" spans="1:26" ht="15.75">
      <c r="A5" s="69"/>
      <c r="B5" s="69"/>
      <c r="C5" s="154"/>
      <c r="D5" s="154"/>
      <c r="E5" s="154"/>
      <c r="F5" s="22"/>
      <c r="G5" s="22"/>
      <c r="H5" s="22"/>
      <c r="I5" s="22"/>
      <c r="J5" s="22"/>
      <c r="K5" s="22"/>
      <c r="L5" s="22"/>
      <c r="M5" s="22"/>
      <c r="N5" s="22"/>
      <c r="O5" s="22"/>
      <c r="P5" s="22"/>
      <c r="Q5" s="22"/>
      <c r="R5" s="22"/>
      <c r="S5" s="22"/>
      <c r="T5" s="22"/>
      <c r="U5" s="22"/>
      <c r="V5" s="22"/>
      <c r="W5" s="22"/>
      <c r="X5" s="22"/>
      <c r="Y5" s="22"/>
      <c r="Z5" s="22"/>
    </row>
    <row r="6" spans="1:26" ht="15.75">
      <c r="A6" s="69"/>
      <c r="B6" s="69"/>
      <c r="C6" s="154"/>
      <c r="D6" s="154"/>
      <c r="E6" s="154"/>
      <c r="F6" s="22"/>
      <c r="G6" s="22"/>
      <c r="H6" s="22"/>
      <c r="I6" s="22"/>
      <c r="J6" s="22"/>
      <c r="K6" s="22"/>
      <c r="L6" s="22"/>
      <c r="M6" s="22"/>
      <c r="N6" s="22"/>
      <c r="O6" s="22"/>
      <c r="P6" s="22"/>
      <c r="Q6" s="22"/>
      <c r="R6" s="22"/>
      <c r="S6" s="22"/>
      <c r="T6" s="22"/>
      <c r="U6" s="22"/>
      <c r="V6" s="22"/>
      <c r="W6" s="22"/>
      <c r="X6" s="22"/>
      <c r="Y6" s="22"/>
      <c r="Z6" s="22"/>
    </row>
    <row r="7" spans="1:26" ht="15.75">
      <c r="A7" s="69"/>
      <c r="B7" s="69"/>
      <c r="C7" s="154"/>
      <c r="D7" s="154"/>
      <c r="E7" s="154"/>
      <c r="F7" s="22"/>
      <c r="G7" s="22"/>
      <c r="H7" s="22"/>
      <c r="I7" s="22"/>
      <c r="J7" s="22"/>
      <c r="K7" s="22"/>
      <c r="L7" s="22"/>
      <c r="M7" s="22"/>
      <c r="N7" s="22"/>
      <c r="O7" s="22"/>
      <c r="P7" s="22"/>
      <c r="Q7" s="22"/>
      <c r="R7" s="22"/>
      <c r="S7" s="22"/>
      <c r="T7" s="22"/>
      <c r="U7" s="22"/>
      <c r="V7" s="22"/>
      <c r="W7" s="22"/>
      <c r="X7" s="22"/>
      <c r="Y7" s="22"/>
      <c r="Z7" s="22"/>
    </row>
    <row r="8" spans="1:26" ht="15.75">
      <c r="A8" s="69"/>
      <c r="B8" s="69"/>
      <c r="C8" s="154"/>
      <c r="D8" s="154"/>
      <c r="E8" s="154"/>
      <c r="F8" s="22"/>
      <c r="G8" s="22"/>
      <c r="H8" s="22"/>
      <c r="I8" s="22"/>
      <c r="J8" s="22"/>
      <c r="K8" s="22"/>
      <c r="L8" s="22"/>
      <c r="M8" s="22"/>
      <c r="N8" s="22"/>
      <c r="O8" s="22"/>
      <c r="P8" s="22"/>
      <c r="Q8" s="22"/>
      <c r="R8" s="22"/>
      <c r="S8" s="22"/>
      <c r="T8" s="22"/>
      <c r="U8" s="22"/>
      <c r="V8" s="22"/>
      <c r="W8" s="22"/>
      <c r="X8" s="22"/>
      <c r="Y8" s="22"/>
      <c r="Z8" s="22"/>
    </row>
    <row r="9" spans="1:26" ht="15.75">
      <c r="A9" s="69"/>
      <c r="B9" s="69"/>
      <c r="C9" s="154"/>
      <c r="D9" s="154"/>
      <c r="E9" s="154"/>
      <c r="F9" s="22"/>
      <c r="G9" s="22"/>
      <c r="H9" s="22"/>
      <c r="I9" s="22"/>
      <c r="J9" s="22"/>
      <c r="K9" s="22"/>
      <c r="L9" s="22"/>
      <c r="M9" s="22"/>
      <c r="N9" s="22"/>
      <c r="O9" s="22"/>
      <c r="P9" s="22"/>
      <c r="Q9" s="22"/>
      <c r="R9" s="22"/>
      <c r="S9" s="22"/>
      <c r="T9" s="22"/>
      <c r="U9" s="22"/>
      <c r="V9" s="22"/>
      <c r="W9" s="22"/>
      <c r="X9" s="22"/>
      <c r="Y9" s="22"/>
      <c r="Z9" s="22"/>
    </row>
    <row r="10" spans="1:26" ht="15.75">
      <c r="A10" s="69"/>
      <c r="B10" s="69"/>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75">
      <c r="A11" s="69"/>
      <c r="B11" s="69"/>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75">
      <c r="A12" s="69"/>
      <c r="B12" s="69"/>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75">
      <c r="A13" s="69"/>
      <c r="B13" s="69"/>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75">
      <c r="A14" s="69"/>
      <c r="B14" s="69"/>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75">
      <c r="A15" s="69"/>
      <c r="B15" s="69"/>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75">
      <c r="A16" s="69"/>
      <c r="B16" s="69"/>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75">
      <c r="A17" s="69"/>
      <c r="B17" s="69"/>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75">
      <c r="A18" s="69"/>
      <c r="B18" s="69"/>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75">
      <c r="A19" s="69"/>
      <c r="B19" s="69"/>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75">
      <c r="A20" s="69"/>
      <c r="B20" s="69"/>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75">
      <c r="A21" s="69"/>
      <c r="B21" s="69"/>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75">
      <c r="A22" s="69"/>
      <c r="B22" s="69"/>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75">
      <c r="A23" s="69"/>
      <c r="B23" s="69"/>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75">
      <c r="A24" s="69"/>
      <c r="B24" s="69"/>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75">
      <c r="A25" s="69"/>
      <c r="B25" s="69"/>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75">
      <c r="A26" s="69"/>
      <c r="B26" s="69"/>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75">
      <c r="A27" s="69"/>
      <c r="B27" s="69"/>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75">
      <c r="A28" s="69"/>
      <c r="B28" s="69"/>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75">
      <c r="A29" s="69"/>
      <c r="B29" s="69"/>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75">
      <c r="A30" s="69"/>
      <c r="B30" s="69"/>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75">
      <c r="A31" s="69"/>
      <c r="B31" s="69"/>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75">
      <c r="A32" s="69"/>
      <c r="B32" s="69"/>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75">
      <c r="A33" s="69"/>
      <c r="B33" s="69"/>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75">
      <c r="A34" s="69"/>
      <c r="B34" s="69"/>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75">
      <c r="A35" s="69"/>
      <c r="B35" s="69"/>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75">
      <c r="A36" s="69"/>
      <c r="B36" s="69"/>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75">
      <c r="A37" s="69"/>
      <c r="B37" s="69"/>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75">
      <c r="A38" s="69"/>
      <c r="B38" s="69"/>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75">
      <c r="A39" s="69"/>
      <c r="B39" s="69"/>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D16" sqref="D16:E16"/>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5" t="s">
        <v>105</v>
      </c>
      <c r="E2" s="155"/>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6" t="s">
        <v>106</v>
      </c>
      <c r="E3" s="156"/>
      <c r="F3" s="71" t="s">
        <v>1</v>
      </c>
      <c r="G3" s="2"/>
      <c r="H3" s="2"/>
      <c r="I3" s="2"/>
      <c r="J3" s="2"/>
      <c r="K3" s="2"/>
      <c r="L3" s="2"/>
      <c r="M3" s="2"/>
      <c r="N3" s="2"/>
      <c r="O3" s="2"/>
      <c r="P3" s="2"/>
      <c r="Q3" s="2"/>
      <c r="R3" s="2"/>
      <c r="S3" s="2"/>
      <c r="T3" s="2"/>
      <c r="U3" s="2"/>
      <c r="V3" s="2"/>
      <c r="W3" s="2"/>
      <c r="X3" s="2"/>
      <c r="Y3" s="2"/>
      <c r="Z3" s="2"/>
    </row>
    <row r="4" spans="1:26">
      <c r="A4" s="62">
        <v>0</v>
      </c>
      <c r="B4" s="62">
        <v>0.92</v>
      </c>
      <c r="D4" s="157"/>
      <c r="E4" s="157"/>
      <c r="F4" s="6" t="s">
        <v>329</v>
      </c>
      <c r="G4" s="9"/>
      <c r="H4" s="9"/>
      <c r="I4" s="9"/>
      <c r="J4" s="9"/>
      <c r="K4" s="9"/>
      <c r="L4" s="9"/>
      <c r="M4" s="9"/>
      <c r="N4" s="9"/>
      <c r="O4" s="9"/>
      <c r="P4" s="9"/>
      <c r="Q4" s="9"/>
      <c r="R4" s="9"/>
      <c r="S4" s="9"/>
      <c r="T4" s="9"/>
      <c r="U4" s="9"/>
      <c r="V4" s="9"/>
      <c r="W4" s="9"/>
      <c r="X4" s="9"/>
      <c r="Y4" s="9"/>
      <c r="Z4" s="9"/>
    </row>
    <row r="5" spans="1:26">
      <c r="A5" s="6">
        <v>0.92</v>
      </c>
      <c r="B5" s="6">
        <f>0.92+0.89</f>
        <v>1.81</v>
      </c>
      <c r="D5" s="157"/>
      <c r="E5" s="157"/>
      <c r="F5" s="6" t="s">
        <v>330</v>
      </c>
      <c r="G5" s="9"/>
      <c r="H5" s="9"/>
      <c r="I5" s="9"/>
      <c r="J5" s="9"/>
      <c r="K5" s="9"/>
      <c r="L5" s="9"/>
      <c r="M5" s="9"/>
      <c r="N5" s="9"/>
      <c r="O5" s="9"/>
      <c r="P5" s="9"/>
      <c r="Q5" s="9"/>
      <c r="R5" s="9"/>
      <c r="S5" s="9"/>
      <c r="T5" s="9"/>
      <c r="U5" s="9"/>
      <c r="V5" s="9"/>
      <c r="W5" s="9"/>
      <c r="X5" s="9"/>
      <c r="Y5" s="9"/>
      <c r="Z5" s="9"/>
    </row>
    <row r="6" spans="1:26">
      <c r="D6" s="157"/>
      <c r="E6" s="157"/>
      <c r="F6" s="6" t="s">
        <v>344</v>
      </c>
      <c r="G6" s="9"/>
      <c r="H6" s="9"/>
      <c r="I6" s="9"/>
      <c r="J6" s="9"/>
      <c r="K6" s="9"/>
      <c r="L6" s="9"/>
      <c r="M6" s="9"/>
      <c r="N6" s="9"/>
      <c r="O6" s="9"/>
      <c r="P6" s="9"/>
      <c r="Q6" s="9"/>
      <c r="R6" s="9"/>
      <c r="S6" s="9"/>
      <c r="T6" s="9"/>
      <c r="U6" s="9"/>
      <c r="V6" s="9"/>
      <c r="W6" s="9"/>
      <c r="X6" s="9"/>
      <c r="Y6" s="9"/>
      <c r="Z6" s="9"/>
    </row>
    <row r="7" spans="1:26">
      <c r="C7"/>
      <c r="D7" s="157"/>
      <c r="E7" s="157"/>
      <c r="F7"/>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1"/>
      <c r="E47" s="151"/>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D6:E46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topLeftCell="A17" zoomScale="85" zoomScaleNormal="85" workbookViewId="0">
      <selection activeCell="I43" sqref="I43"/>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v>0</v>
      </c>
      <c r="B4" s="140">
        <v>0.05</v>
      </c>
      <c r="C4" s="141">
        <f>AVERAGE(A4:B4)</f>
        <v>2.5000000000000001E-2</v>
      </c>
      <c r="D4" s="62" t="s">
        <v>316</v>
      </c>
      <c r="E4" s="6">
        <v>118.3</v>
      </c>
      <c r="F4" s="6">
        <v>4.83</v>
      </c>
      <c r="G4" s="6">
        <f>0.835*E4/(E4-F4)</f>
        <v>0.87054287476866121</v>
      </c>
      <c r="H4" s="6" t="s">
        <v>332</v>
      </c>
      <c r="I4" s="9"/>
      <c r="J4" s="9"/>
      <c r="K4" s="9"/>
      <c r="L4" s="9"/>
      <c r="M4" s="9"/>
      <c r="N4" s="9"/>
      <c r="O4" s="9"/>
      <c r="P4" s="9"/>
      <c r="Q4" s="9"/>
      <c r="R4" s="9"/>
      <c r="S4" s="9"/>
      <c r="T4" s="9"/>
      <c r="U4" s="9"/>
      <c r="V4" s="9"/>
    </row>
    <row r="5" spans="1:1024">
      <c r="A5" s="140">
        <v>0.05</v>
      </c>
      <c r="B5" s="140">
        <v>0.1</v>
      </c>
      <c r="C5" s="141">
        <f t="shared" ref="C5:C39" si="0">AVERAGE(A5:B5)</f>
        <v>7.5000000000000011E-2</v>
      </c>
      <c r="D5" s="62" t="s">
        <v>317</v>
      </c>
      <c r="E5" s="6">
        <v>184.9</v>
      </c>
      <c r="F5" s="6">
        <v>5.6</v>
      </c>
      <c r="G5" s="6">
        <f t="shared" ref="G5:G39" si="1">0.835*E5/(E5-F5)</f>
        <v>0.86107919687674284</v>
      </c>
      <c r="H5" s="6" t="s">
        <v>333</v>
      </c>
      <c r="I5" s="9"/>
      <c r="J5" s="9"/>
      <c r="K5" s="9"/>
      <c r="L5" s="9"/>
      <c r="M5" s="9"/>
      <c r="N5" s="9"/>
      <c r="O5" s="9"/>
      <c r="P5" s="9"/>
      <c r="Q5" s="9"/>
      <c r="R5" s="9"/>
      <c r="S5" s="9"/>
      <c r="T5" s="9"/>
      <c r="U5" s="9"/>
      <c r="V5" s="9"/>
    </row>
    <row r="6" spans="1:1024">
      <c r="A6" s="140">
        <v>0.1</v>
      </c>
      <c r="B6" s="140">
        <v>0.15</v>
      </c>
      <c r="C6" s="141">
        <f t="shared" si="0"/>
        <v>0.125</v>
      </c>
      <c r="D6" s="62" t="s">
        <v>318</v>
      </c>
      <c r="E6" s="6">
        <v>222.4</v>
      </c>
      <c r="F6" s="6">
        <v>9.9</v>
      </c>
      <c r="G6" s="6">
        <f t="shared" si="1"/>
        <v>0.87390117647058829</v>
      </c>
      <c r="H6" s="6" t="s">
        <v>342</v>
      </c>
      <c r="I6" s="9"/>
      <c r="J6" s="9"/>
      <c r="K6" s="9"/>
      <c r="L6" s="9"/>
      <c r="M6" s="9"/>
      <c r="N6" s="9"/>
      <c r="O6" s="9"/>
      <c r="P6" s="9"/>
      <c r="Q6" s="9"/>
      <c r="R6" s="9"/>
      <c r="S6" s="9"/>
      <c r="T6" s="9"/>
      <c r="U6" s="9"/>
      <c r="V6" s="9"/>
    </row>
    <row r="7" spans="1:1024">
      <c r="A7" s="140">
        <v>0.15</v>
      </c>
      <c r="B7" s="140">
        <v>0.2</v>
      </c>
      <c r="C7" s="141">
        <f t="shared" si="0"/>
        <v>0.17499999999999999</v>
      </c>
      <c r="D7" s="62" t="s">
        <v>319</v>
      </c>
      <c r="E7" s="6">
        <v>256.39999999999998</v>
      </c>
      <c r="F7" s="6">
        <v>13.8</v>
      </c>
      <c r="G7" s="6">
        <f t="shared" si="1"/>
        <v>0.88249793899422913</v>
      </c>
      <c r="H7" s="6" t="s">
        <v>334</v>
      </c>
      <c r="I7" s="9"/>
      <c r="J7" s="9"/>
      <c r="K7" s="9"/>
      <c r="L7" s="9"/>
      <c r="M7" s="9"/>
      <c r="N7" s="9"/>
      <c r="O7" s="9"/>
      <c r="P7" s="9"/>
      <c r="Q7" s="9"/>
      <c r="R7" s="9"/>
      <c r="S7" s="9"/>
      <c r="T7" s="9"/>
      <c r="U7" s="9"/>
      <c r="V7" s="9"/>
    </row>
    <row r="8" spans="1:1024">
      <c r="A8" s="140">
        <v>0.2</v>
      </c>
      <c r="B8" s="140">
        <v>0.25</v>
      </c>
      <c r="C8" s="141">
        <f t="shared" si="0"/>
        <v>0.22500000000000001</v>
      </c>
      <c r="D8" s="62" t="s">
        <v>320</v>
      </c>
      <c r="E8" s="6">
        <v>235.3</v>
      </c>
      <c r="F8" s="6">
        <v>13.6</v>
      </c>
      <c r="G8" s="6">
        <f t="shared" si="1"/>
        <v>0.88622237257555248</v>
      </c>
      <c r="H8" s="6" t="s">
        <v>335</v>
      </c>
      <c r="I8" s="9"/>
      <c r="J8" s="9"/>
      <c r="K8" s="9"/>
      <c r="L8" s="9"/>
      <c r="M8" s="9"/>
      <c r="N8" s="9"/>
      <c r="O8" s="9"/>
      <c r="P8" s="9"/>
      <c r="Q8" s="9"/>
      <c r="R8" s="9"/>
      <c r="S8" s="9"/>
      <c r="T8" s="9"/>
      <c r="U8" s="9"/>
      <c r="V8" s="9"/>
    </row>
    <row r="9" spans="1:1024">
      <c r="A9" s="140">
        <v>0.25</v>
      </c>
      <c r="B9" s="140">
        <v>0.3</v>
      </c>
      <c r="C9" s="141">
        <f t="shared" si="0"/>
        <v>0.27500000000000002</v>
      </c>
      <c r="D9" s="62" t="s">
        <v>321</v>
      </c>
      <c r="E9" s="6">
        <v>264.8</v>
      </c>
      <c r="F9" s="6">
        <v>14.8</v>
      </c>
      <c r="G9" s="6">
        <f t="shared" si="1"/>
        <v>0.884432</v>
      </c>
      <c r="H9" s="6" t="s">
        <v>337</v>
      </c>
      <c r="I9" s="9"/>
      <c r="J9" s="9"/>
      <c r="K9" s="9"/>
      <c r="L9" s="9"/>
      <c r="M9" s="9"/>
      <c r="N9" s="9"/>
      <c r="O9" s="9"/>
      <c r="P9" s="9"/>
      <c r="Q9" s="9"/>
      <c r="R9" s="9"/>
      <c r="S9" s="9"/>
      <c r="T9" s="9"/>
      <c r="U9" s="9"/>
      <c r="V9" s="9"/>
    </row>
    <row r="10" spans="1:1024">
      <c r="A10" s="140">
        <v>0.3</v>
      </c>
      <c r="B10" s="140">
        <v>0.35</v>
      </c>
      <c r="C10" s="141">
        <f t="shared" si="0"/>
        <v>0.32499999999999996</v>
      </c>
      <c r="D10" s="62" t="s">
        <v>322</v>
      </c>
      <c r="E10" s="6">
        <v>282.93</v>
      </c>
      <c r="F10" s="6">
        <v>12.88</v>
      </c>
      <c r="G10" s="6">
        <f t="shared" si="1"/>
        <v>0.87482521755230502</v>
      </c>
      <c r="H10" s="6" t="s">
        <v>336</v>
      </c>
      <c r="I10" s="9"/>
      <c r="J10" s="9"/>
      <c r="K10" s="9"/>
      <c r="L10" s="9"/>
      <c r="M10" s="9"/>
      <c r="N10" s="9"/>
      <c r="O10" s="9"/>
      <c r="P10" s="9"/>
      <c r="Q10" s="9"/>
      <c r="R10" s="9"/>
      <c r="S10" s="9"/>
      <c r="T10" s="9"/>
      <c r="U10" s="9"/>
      <c r="V10" s="9"/>
    </row>
    <row r="11" spans="1:1024">
      <c r="A11" s="140">
        <v>0.35</v>
      </c>
      <c r="B11" s="140">
        <v>0.4</v>
      </c>
      <c r="C11" s="141">
        <f t="shared" si="0"/>
        <v>0.375</v>
      </c>
      <c r="D11" s="62" t="s">
        <v>323</v>
      </c>
      <c r="E11" s="6">
        <v>269.3</v>
      </c>
      <c r="F11" s="6">
        <v>20.100000000000001</v>
      </c>
      <c r="G11" s="6">
        <f t="shared" si="1"/>
        <v>0.90234951845906897</v>
      </c>
      <c r="H11" s="6" t="s">
        <v>338</v>
      </c>
      <c r="I11" s="9"/>
      <c r="J11" s="9"/>
      <c r="K11" s="9"/>
      <c r="L11" s="9"/>
      <c r="M11" s="9"/>
      <c r="N11" s="9"/>
      <c r="O11" s="9"/>
      <c r="P11" s="9"/>
      <c r="Q11" s="9"/>
      <c r="R11" s="9"/>
      <c r="S11" s="9"/>
      <c r="T11" s="9"/>
      <c r="U11" s="9"/>
      <c r="V11" s="9"/>
    </row>
    <row r="12" spans="1:1024">
      <c r="A12" s="140">
        <v>0.4</v>
      </c>
      <c r="B12" s="140">
        <v>0.45</v>
      </c>
      <c r="C12" s="141">
        <f t="shared" si="0"/>
        <v>0.42500000000000004</v>
      </c>
      <c r="D12" s="62" t="s">
        <v>324</v>
      </c>
      <c r="E12" s="6">
        <v>282.38</v>
      </c>
      <c r="F12" s="6">
        <v>20.260000000000002</v>
      </c>
      <c r="G12" s="6">
        <f t="shared" si="1"/>
        <v>0.89953952388219127</v>
      </c>
      <c r="H12" s="6" t="s">
        <v>343</v>
      </c>
      <c r="I12" s="9"/>
      <c r="J12" s="9"/>
      <c r="K12" s="9"/>
      <c r="L12" s="9"/>
      <c r="M12" s="9"/>
      <c r="N12" s="9"/>
      <c r="O12" s="9"/>
      <c r="P12" s="9"/>
      <c r="Q12" s="9"/>
      <c r="R12" s="9"/>
      <c r="S12" s="9"/>
      <c r="T12" s="9"/>
      <c r="U12" s="9"/>
      <c r="V12" s="9"/>
    </row>
    <row r="13" spans="1:1024">
      <c r="A13" s="140">
        <v>0.45</v>
      </c>
      <c r="B13" s="140">
        <v>0.5</v>
      </c>
      <c r="C13" s="141">
        <f t="shared" si="0"/>
        <v>0.47499999999999998</v>
      </c>
      <c r="D13" s="62" t="s">
        <v>325</v>
      </c>
      <c r="E13" s="6">
        <v>274.3</v>
      </c>
      <c r="F13" s="6">
        <v>23.3</v>
      </c>
      <c r="G13" s="6">
        <f t="shared" si="1"/>
        <v>0.91251195219123504</v>
      </c>
      <c r="I13" s="9"/>
      <c r="J13" s="9"/>
      <c r="K13" s="9"/>
      <c r="L13" s="9"/>
      <c r="M13" s="9"/>
      <c r="N13" s="9"/>
      <c r="O13" s="9"/>
      <c r="P13" s="9"/>
      <c r="Q13" s="9"/>
      <c r="R13" s="9"/>
      <c r="S13" s="9"/>
      <c r="T13" s="9"/>
      <c r="U13" s="9"/>
      <c r="V13" s="9"/>
    </row>
    <row r="14" spans="1:1024">
      <c r="A14" s="140">
        <v>0.5</v>
      </c>
      <c r="B14" s="140">
        <v>0.55000000000000004</v>
      </c>
      <c r="C14" s="141">
        <f t="shared" si="0"/>
        <v>0.52500000000000002</v>
      </c>
      <c r="D14" s="62"/>
      <c r="E14" s="6">
        <v>290.89999999999998</v>
      </c>
      <c r="F14" s="6">
        <v>25</v>
      </c>
      <c r="G14" s="6">
        <f t="shared" si="1"/>
        <v>0.91350695750282063</v>
      </c>
      <c r="I14" s="9"/>
      <c r="J14" s="9"/>
      <c r="K14" s="9"/>
      <c r="L14" s="9"/>
      <c r="M14" s="9"/>
      <c r="N14" s="9"/>
      <c r="O14" s="9"/>
      <c r="P14" s="9"/>
      <c r="Q14" s="9"/>
      <c r="R14" s="9"/>
      <c r="S14" s="9"/>
      <c r="T14" s="9"/>
      <c r="U14" s="9"/>
      <c r="V14" s="9"/>
    </row>
    <row r="15" spans="1:1024">
      <c r="A15" s="140">
        <v>0.55000000000000004</v>
      </c>
      <c r="B15" s="140">
        <v>0.6</v>
      </c>
      <c r="C15" s="141">
        <f t="shared" si="0"/>
        <v>0.57499999999999996</v>
      </c>
      <c r="D15" s="62"/>
      <c r="E15" s="6">
        <v>301.89999999999998</v>
      </c>
      <c r="F15" s="6">
        <v>25.1</v>
      </c>
      <c r="G15" s="6">
        <f t="shared" si="1"/>
        <v>0.91071712427745666</v>
      </c>
      <c r="I15" s="9"/>
      <c r="J15" s="9"/>
      <c r="K15" s="9"/>
      <c r="L15" s="9"/>
      <c r="M15" s="9"/>
      <c r="N15" s="9"/>
      <c r="O15" s="9"/>
      <c r="P15" s="9"/>
      <c r="Q15" s="9"/>
      <c r="R15" s="9"/>
      <c r="S15" s="9"/>
      <c r="T15" s="9"/>
      <c r="U15" s="9"/>
      <c r="V15" s="9"/>
    </row>
    <row r="16" spans="1:1024">
      <c r="A16" s="140">
        <v>0.6</v>
      </c>
      <c r="B16" s="140">
        <v>0.65</v>
      </c>
      <c r="C16" s="141">
        <f t="shared" si="0"/>
        <v>0.625</v>
      </c>
      <c r="D16" s="62"/>
      <c r="E16" s="6">
        <v>264.39999999999998</v>
      </c>
      <c r="F16" s="6">
        <v>22.92</v>
      </c>
      <c r="G16" s="6">
        <f t="shared" si="1"/>
        <v>0.91425376842802719</v>
      </c>
      <c r="I16" s="9"/>
      <c r="J16" s="9"/>
      <c r="K16" s="9"/>
      <c r="L16" s="9"/>
      <c r="M16" s="9"/>
      <c r="N16" s="9"/>
      <c r="O16" s="9"/>
      <c r="P16" s="9"/>
      <c r="Q16" s="9"/>
      <c r="R16" s="9"/>
      <c r="S16" s="9"/>
      <c r="T16" s="9"/>
      <c r="U16" s="9"/>
      <c r="V16" s="9"/>
    </row>
    <row r="17" spans="1:22">
      <c r="A17" s="140">
        <v>0.65</v>
      </c>
      <c r="B17" s="140">
        <v>0.7</v>
      </c>
      <c r="C17" s="141">
        <f t="shared" si="0"/>
        <v>0.67500000000000004</v>
      </c>
      <c r="D17" s="62"/>
      <c r="E17" s="6">
        <v>301.89999999999998</v>
      </c>
      <c r="F17" s="6">
        <v>26.22</v>
      </c>
      <c r="G17" s="6">
        <f t="shared" si="1"/>
        <v>0.91441707777132919</v>
      </c>
      <c r="H17" s="6" t="s">
        <v>339</v>
      </c>
      <c r="I17" s="9"/>
      <c r="J17" s="9"/>
      <c r="K17" s="9"/>
      <c r="L17" s="9"/>
      <c r="M17" s="9"/>
      <c r="N17" s="9"/>
      <c r="O17" s="9"/>
      <c r="P17" s="9"/>
      <c r="Q17" s="9"/>
      <c r="R17" s="9"/>
      <c r="S17" s="9"/>
      <c r="T17" s="9"/>
      <c r="U17" s="9"/>
      <c r="V17" s="9"/>
    </row>
    <row r="18" spans="1:22">
      <c r="A18" s="140">
        <v>0.7</v>
      </c>
      <c r="B18" s="140">
        <v>0.75</v>
      </c>
      <c r="C18" s="141">
        <f t="shared" si="0"/>
        <v>0.72499999999999998</v>
      </c>
      <c r="D18" s="62"/>
      <c r="E18" s="6">
        <v>292.10000000000002</v>
      </c>
      <c r="F18" s="6">
        <v>24.7</v>
      </c>
      <c r="G18" s="6">
        <f t="shared" si="1"/>
        <v>0.91212976813762148</v>
      </c>
      <c r="H18" s="6" t="s">
        <v>339</v>
      </c>
      <c r="I18" s="9"/>
      <c r="J18" s="9"/>
      <c r="K18" s="9"/>
      <c r="L18" s="9"/>
      <c r="M18" s="9"/>
      <c r="N18" s="9"/>
      <c r="O18" s="9"/>
      <c r="P18" s="9"/>
      <c r="Q18" s="9"/>
      <c r="R18" s="9"/>
      <c r="S18" s="9"/>
      <c r="T18" s="9"/>
      <c r="U18" s="9"/>
      <c r="V18" s="9"/>
    </row>
    <row r="19" spans="1:22">
      <c r="A19" s="140">
        <v>0.75</v>
      </c>
      <c r="B19" s="140">
        <v>0.8</v>
      </c>
      <c r="C19" s="141">
        <f t="shared" si="0"/>
        <v>0.77500000000000002</v>
      </c>
      <c r="D19" s="62"/>
      <c r="E19" s="6">
        <v>298.3</v>
      </c>
      <c r="F19" s="6">
        <v>24.9</v>
      </c>
      <c r="G19" s="6">
        <f t="shared" si="1"/>
        <v>0.91104791514264805</v>
      </c>
      <c r="I19" s="9"/>
      <c r="J19" s="9"/>
      <c r="K19" s="9"/>
      <c r="L19" s="9"/>
      <c r="M19" s="9"/>
      <c r="N19" s="9"/>
      <c r="O19" s="9"/>
      <c r="P19" s="9"/>
      <c r="Q19" s="9"/>
      <c r="R19" s="9"/>
      <c r="S19" s="9"/>
      <c r="T19" s="9"/>
      <c r="U19" s="9"/>
      <c r="V19" s="9"/>
    </row>
    <row r="20" spans="1:22">
      <c r="A20" s="140">
        <v>0.8</v>
      </c>
      <c r="B20" s="140">
        <v>0.85</v>
      </c>
      <c r="C20" s="141">
        <f t="shared" si="0"/>
        <v>0.82499999999999996</v>
      </c>
      <c r="D20" s="62"/>
      <c r="E20" s="6">
        <v>317.10000000000002</v>
      </c>
      <c r="F20" s="6">
        <v>26.8</v>
      </c>
      <c r="G20" s="6">
        <f t="shared" si="1"/>
        <v>0.91208577333792629</v>
      </c>
      <c r="I20" s="9"/>
      <c r="J20" s="9"/>
      <c r="K20" s="9"/>
      <c r="L20" s="9"/>
      <c r="M20" s="9"/>
      <c r="N20" s="9"/>
      <c r="O20" s="9"/>
      <c r="P20" s="9"/>
      <c r="Q20" s="9"/>
      <c r="R20" s="9"/>
      <c r="S20" s="9"/>
      <c r="T20" s="9"/>
      <c r="U20" s="9"/>
      <c r="V20" s="9"/>
    </row>
    <row r="21" spans="1:22">
      <c r="A21" s="140">
        <v>0.85</v>
      </c>
      <c r="B21" s="140">
        <v>0.9</v>
      </c>
      <c r="C21" s="141">
        <f t="shared" si="0"/>
        <v>0.875</v>
      </c>
      <c r="D21" s="62"/>
      <c r="E21" s="6">
        <v>319.89999999999998</v>
      </c>
      <c r="F21" s="6">
        <v>24.6</v>
      </c>
      <c r="G21" s="6">
        <f t="shared" si="1"/>
        <v>0.90455976972570273</v>
      </c>
      <c r="H21" s="6" t="s">
        <v>181</v>
      </c>
      <c r="I21" s="9"/>
      <c r="J21" s="9"/>
      <c r="K21" s="9"/>
      <c r="L21" s="9"/>
      <c r="M21" s="9"/>
      <c r="N21" s="9"/>
      <c r="O21" s="9"/>
      <c r="P21" s="9"/>
      <c r="Q21" s="9"/>
      <c r="R21" s="9"/>
      <c r="S21" s="9"/>
      <c r="T21" s="9"/>
      <c r="U21" s="9"/>
      <c r="V21" s="9"/>
    </row>
    <row r="22" spans="1:22">
      <c r="A22" s="140">
        <v>0.9</v>
      </c>
      <c r="B22" s="140">
        <v>0.95</v>
      </c>
      <c r="C22" s="141">
        <f t="shared" si="0"/>
        <v>0.92500000000000004</v>
      </c>
      <c r="D22" s="62"/>
      <c r="E22" s="6">
        <v>239.1</v>
      </c>
      <c r="F22" s="6">
        <v>19</v>
      </c>
      <c r="G22" s="6">
        <f t="shared" si="1"/>
        <v>0.90708087233075874</v>
      </c>
      <c r="I22" s="9"/>
      <c r="J22" s="9"/>
      <c r="K22" s="9"/>
      <c r="L22" s="9"/>
      <c r="M22" s="9"/>
      <c r="N22" s="9"/>
      <c r="O22" s="9"/>
      <c r="P22" s="9"/>
      <c r="Q22" s="9"/>
      <c r="R22" s="9"/>
      <c r="S22" s="9"/>
      <c r="T22" s="9"/>
      <c r="U22" s="9"/>
      <c r="V22" s="9"/>
    </row>
    <row r="23" spans="1:22">
      <c r="A23" s="140">
        <v>0.95</v>
      </c>
      <c r="B23" s="140">
        <v>1</v>
      </c>
      <c r="C23" s="141">
        <f t="shared" si="0"/>
        <v>0.97499999999999998</v>
      </c>
      <c r="D23" s="62"/>
      <c r="E23" s="6">
        <v>279.39999999999998</v>
      </c>
      <c r="F23" s="6">
        <v>22.8</v>
      </c>
      <c r="G23" s="6">
        <f t="shared" si="1"/>
        <v>0.90919329696024942</v>
      </c>
      <c r="I23" s="9"/>
      <c r="J23" s="9"/>
      <c r="K23" s="9"/>
      <c r="L23" s="9"/>
      <c r="M23" s="9"/>
      <c r="N23" s="9"/>
      <c r="O23" s="9"/>
      <c r="P23" s="9"/>
      <c r="Q23" s="9"/>
      <c r="R23" s="9"/>
      <c r="S23" s="9"/>
      <c r="T23" s="9"/>
      <c r="U23" s="9"/>
      <c r="V23" s="9"/>
    </row>
    <row r="24" spans="1:22">
      <c r="A24" s="140">
        <v>1</v>
      </c>
      <c r="B24" s="140">
        <v>1.05</v>
      </c>
      <c r="C24" s="141">
        <f t="shared" si="0"/>
        <v>1.0249999999999999</v>
      </c>
      <c r="D24" s="62"/>
      <c r="E24" s="6">
        <v>272.3</v>
      </c>
      <c r="F24" s="6">
        <v>23.6</v>
      </c>
      <c r="G24" s="6">
        <f t="shared" si="1"/>
        <v>0.91423602734217924</v>
      </c>
      <c r="I24" s="9"/>
      <c r="J24" s="9"/>
      <c r="K24" s="9"/>
      <c r="L24" s="9"/>
      <c r="M24" s="9"/>
      <c r="N24" s="9"/>
      <c r="O24" s="9"/>
      <c r="P24" s="9"/>
      <c r="Q24" s="9"/>
      <c r="R24" s="9"/>
      <c r="S24" s="9"/>
      <c r="T24" s="9"/>
      <c r="U24" s="9"/>
      <c r="V24" s="9"/>
    </row>
    <row r="25" spans="1:22">
      <c r="A25" s="140">
        <v>1.05</v>
      </c>
      <c r="B25" s="140">
        <v>1.1000000000000001</v>
      </c>
      <c r="C25" s="141">
        <f t="shared" si="0"/>
        <v>1.0750000000000002</v>
      </c>
      <c r="D25" s="62"/>
      <c r="E25" s="6">
        <v>303.2</v>
      </c>
      <c r="F25" s="6">
        <v>26.1</v>
      </c>
      <c r="G25" s="6">
        <f t="shared" si="1"/>
        <v>0.91364850234572359</v>
      </c>
      <c r="I25" s="9"/>
      <c r="J25" s="9"/>
      <c r="K25" s="9"/>
      <c r="L25" s="9"/>
      <c r="M25" s="9"/>
      <c r="N25" s="9"/>
      <c r="O25" s="9"/>
      <c r="P25" s="9"/>
      <c r="Q25" s="9"/>
      <c r="R25" s="9"/>
      <c r="S25" s="9"/>
      <c r="T25" s="9"/>
      <c r="U25" s="9"/>
      <c r="V25" s="9"/>
    </row>
    <row r="26" spans="1:22">
      <c r="A26" s="140">
        <v>1.1000000000000001</v>
      </c>
      <c r="B26" s="140">
        <v>1.1499999999999999</v>
      </c>
      <c r="C26" s="141">
        <f t="shared" si="0"/>
        <v>1.125</v>
      </c>
      <c r="D26" s="62"/>
      <c r="E26" s="6">
        <v>300.60000000000002</v>
      </c>
      <c r="F26" s="6">
        <v>25.5</v>
      </c>
      <c r="G26" s="6">
        <f t="shared" si="1"/>
        <v>0.91239912758996722</v>
      </c>
      <c r="I26" s="9"/>
      <c r="J26" s="9"/>
      <c r="K26" s="9"/>
      <c r="L26" s="9"/>
      <c r="M26" s="9"/>
      <c r="N26" s="9"/>
      <c r="O26" s="9"/>
      <c r="P26" s="9"/>
      <c r="Q26" s="9"/>
      <c r="R26" s="9"/>
      <c r="S26" s="9"/>
      <c r="T26" s="9"/>
      <c r="U26" s="9"/>
      <c r="V26" s="9"/>
    </row>
    <row r="27" spans="1:22">
      <c r="A27" s="140">
        <v>1.1499999999999999</v>
      </c>
      <c r="B27" s="140">
        <v>1.2</v>
      </c>
      <c r="C27" s="141">
        <f t="shared" si="0"/>
        <v>1.1749999999999998</v>
      </c>
      <c r="D27" s="62"/>
      <c r="E27" s="6">
        <v>290.7</v>
      </c>
      <c r="F27" s="6">
        <v>24.9</v>
      </c>
      <c r="G27" s="6">
        <f t="shared" si="1"/>
        <v>0.9132223476297967</v>
      </c>
      <c r="I27" s="9"/>
      <c r="J27" s="9"/>
      <c r="K27" s="9"/>
      <c r="L27" s="9"/>
      <c r="M27" s="9"/>
      <c r="N27" s="9"/>
      <c r="O27" s="9"/>
      <c r="P27" s="9"/>
      <c r="Q27" s="9"/>
      <c r="R27" s="9"/>
      <c r="S27" s="9"/>
      <c r="T27" s="9"/>
      <c r="U27" s="9"/>
      <c r="V27" s="9"/>
    </row>
    <row r="28" spans="1:22">
      <c r="A28" s="140">
        <v>1.2</v>
      </c>
      <c r="B28" s="140">
        <v>1.25</v>
      </c>
      <c r="C28" s="141">
        <f t="shared" si="0"/>
        <v>1.2250000000000001</v>
      </c>
      <c r="D28" s="62"/>
      <c r="E28" s="6">
        <v>262.5</v>
      </c>
      <c r="F28" s="6">
        <v>22.2</v>
      </c>
      <c r="G28" s="6">
        <f t="shared" si="1"/>
        <v>0.91214107365792751</v>
      </c>
      <c r="I28" s="9"/>
      <c r="J28" s="9"/>
      <c r="K28" s="9"/>
      <c r="L28" s="9"/>
      <c r="M28" s="9"/>
      <c r="N28" s="9"/>
      <c r="O28" s="9"/>
      <c r="P28" s="9"/>
      <c r="Q28" s="9"/>
      <c r="R28" s="9"/>
      <c r="S28" s="9"/>
      <c r="T28" s="9"/>
      <c r="U28" s="9"/>
      <c r="V28" s="9"/>
    </row>
    <row r="29" spans="1:22">
      <c r="A29" s="140">
        <v>1.25</v>
      </c>
      <c r="B29" s="140">
        <v>1.3</v>
      </c>
      <c r="C29" s="141">
        <f t="shared" si="0"/>
        <v>1.2749999999999999</v>
      </c>
      <c r="D29" s="62"/>
      <c r="E29" s="6">
        <v>286.89999999999998</v>
      </c>
      <c r="F29" s="6">
        <v>25</v>
      </c>
      <c r="G29" s="6">
        <f t="shared" si="1"/>
        <v>0.91470599465444824</v>
      </c>
      <c r="I29" s="9"/>
      <c r="J29" s="9"/>
      <c r="K29" s="9"/>
      <c r="L29" s="9"/>
      <c r="M29" s="9"/>
      <c r="N29" s="9"/>
      <c r="O29" s="9"/>
      <c r="P29" s="9"/>
      <c r="Q29" s="9"/>
      <c r="R29" s="9"/>
      <c r="S29" s="9"/>
      <c r="T29" s="9"/>
      <c r="U29" s="9"/>
      <c r="V29" s="9"/>
    </row>
    <row r="30" spans="1:22">
      <c r="A30" s="140">
        <v>1.3</v>
      </c>
      <c r="B30" s="140">
        <v>1.35</v>
      </c>
      <c r="C30" s="141">
        <f t="shared" si="0"/>
        <v>1.3250000000000002</v>
      </c>
      <c r="D30" s="62"/>
      <c r="E30" s="6">
        <v>274.89999999999998</v>
      </c>
      <c r="F30" s="6">
        <v>21.9</v>
      </c>
      <c r="G30" s="6">
        <f t="shared" si="1"/>
        <v>0.90727865612648229</v>
      </c>
      <c r="H30" s="6" t="s">
        <v>340</v>
      </c>
      <c r="I30" s="9"/>
      <c r="J30" s="9"/>
      <c r="K30" s="9"/>
      <c r="L30" s="9"/>
      <c r="M30" s="9"/>
      <c r="N30" s="9"/>
      <c r="O30" s="9"/>
      <c r="P30" s="9"/>
      <c r="Q30" s="9"/>
      <c r="R30" s="9"/>
      <c r="S30" s="9"/>
      <c r="T30" s="9"/>
      <c r="U30" s="9"/>
      <c r="V30" s="9"/>
    </row>
    <row r="31" spans="1:22">
      <c r="A31" s="140">
        <v>1.38</v>
      </c>
      <c r="B31" s="140">
        <v>1.4</v>
      </c>
      <c r="C31" s="141">
        <f t="shared" si="0"/>
        <v>1.39</v>
      </c>
      <c r="D31" s="62"/>
      <c r="E31" s="6">
        <v>126.1</v>
      </c>
      <c r="F31" s="6">
        <v>9.9</v>
      </c>
      <c r="G31" s="6">
        <f t="shared" si="1"/>
        <v>0.90614027538726338</v>
      </c>
      <c r="H31" s="6" t="s">
        <v>341</v>
      </c>
      <c r="I31" s="9"/>
      <c r="J31" s="9"/>
      <c r="K31" s="9"/>
      <c r="L31" s="9"/>
      <c r="M31" s="9"/>
      <c r="N31" s="9"/>
      <c r="O31" s="9"/>
      <c r="P31" s="9"/>
      <c r="Q31" s="9"/>
      <c r="R31" s="9"/>
      <c r="S31" s="9"/>
      <c r="T31" s="9"/>
      <c r="U31" s="9"/>
      <c r="V31" s="9"/>
    </row>
    <row r="32" spans="1:22">
      <c r="A32" s="140">
        <v>1.4</v>
      </c>
      <c r="B32" s="140">
        <v>1.45</v>
      </c>
      <c r="C32" s="141">
        <f t="shared" si="0"/>
        <v>1.4249999999999998</v>
      </c>
      <c r="D32" s="62"/>
      <c r="E32" s="6">
        <v>296.2</v>
      </c>
      <c r="F32" s="6">
        <v>23.8</v>
      </c>
      <c r="G32" s="6">
        <f t="shared" si="1"/>
        <v>0.90795521292217329</v>
      </c>
      <c r="H32" s="6" t="s">
        <v>340</v>
      </c>
      <c r="I32" s="9"/>
      <c r="J32" s="9"/>
      <c r="K32" s="9"/>
      <c r="L32" s="9"/>
      <c r="M32" s="9"/>
      <c r="N32" s="9"/>
      <c r="O32" s="9"/>
      <c r="P32" s="9"/>
      <c r="Q32" s="9"/>
      <c r="R32" s="9"/>
      <c r="S32" s="9"/>
      <c r="T32" s="9"/>
      <c r="U32" s="9"/>
      <c r="V32" s="9"/>
    </row>
    <row r="33" spans="1:22">
      <c r="A33" s="140">
        <v>1.45</v>
      </c>
      <c r="B33" s="140">
        <v>1.5</v>
      </c>
      <c r="C33" s="141">
        <f t="shared" si="0"/>
        <v>1.4750000000000001</v>
      </c>
      <c r="D33" s="62"/>
      <c r="E33" s="6">
        <v>285.3</v>
      </c>
      <c r="F33" s="6">
        <v>22.7</v>
      </c>
      <c r="G33" s="6">
        <f t="shared" si="1"/>
        <v>0.90718012185833963</v>
      </c>
      <c r="H33" s="6" t="s">
        <v>340</v>
      </c>
      <c r="I33" s="9"/>
      <c r="J33" s="9"/>
      <c r="K33" s="9"/>
      <c r="L33" s="9"/>
      <c r="M33" s="9"/>
      <c r="N33" s="9"/>
      <c r="O33" s="9"/>
      <c r="P33" s="9"/>
      <c r="Q33" s="9"/>
      <c r="R33" s="9"/>
      <c r="S33" s="9"/>
      <c r="T33" s="9"/>
      <c r="U33" s="9"/>
      <c r="V33" s="9"/>
    </row>
    <row r="34" spans="1:22">
      <c r="A34" s="140">
        <v>1.5</v>
      </c>
      <c r="B34" s="140">
        <v>1.55</v>
      </c>
      <c r="C34" s="141">
        <f t="shared" si="0"/>
        <v>1.5249999999999999</v>
      </c>
      <c r="D34" s="62"/>
      <c r="E34" s="6">
        <v>247.8</v>
      </c>
      <c r="F34" s="6">
        <v>18.2</v>
      </c>
      <c r="G34" s="6">
        <f t="shared" si="1"/>
        <v>0.90118902439024384</v>
      </c>
      <c r="H34" s="6" t="s">
        <v>340</v>
      </c>
      <c r="I34" s="9"/>
      <c r="J34" s="9"/>
      <c r="K34" s="9"/>
      <c r="L34" s="9"/>
      <c r="M34" s="9"/>
      <c r="N34" s="9"/>
      <c r="O34" s="9"/>
      <c r="P34" s="9"/>
      <c r="Q34" s="9"/>
      <c r="R34" s="9"/>
      <c r="S34" s="9"/>
      <c r="T34" s="9"/>
      <c r="U34" s="9"/>
      <c r="V34" s="9"/>
    </row>
    <row r="35" spans="1:22">
      <c r="A35" s="140">
        <v>1.55</v>
      </c>
      <c r="B35" s="140">
        <v>1.6</v>
      </c>
      <c r="C35" s="141">
        <f t="shared" si="0"/>
        <v>1.5750000000000002</v>
      </c>
      <c r="D35" s="62"/>
      <c r="E35" s="6">
        <v>254.1</v>
      </c>
      <c r="F35" s="6">
        <v>16.600000000000001</v>
      </c>
      <c r="G35" s="6">
        <f t="shared" si="1"/>
        <v>0.89336210526315785</v>
      </c>
      <c r="H35" s="6" t="s">
        <v>340</v>
      </c>
      <c r="I35" s="9"/>
      <c r="J35" s="9"/>
      <c r="K35" s="9"/>
      <c r="L35" s="9"/>
      <c r="M35" s="9"/>
      <c r="N35" s="9"/>
      <c r="O35" s="9"/>
      <c r="P35" s="9"/>
      <c r="Q35" s="9"/>
      <c r="R35" s="9"/>
      <c r="S35" s="9"/>
      <c r="T35" s="9"/>
      <c r="U35" s="9"/>
      <c r="V35" s="9"/>
    </row>
    <row r="36" spans="1:22">
      <c r="A36" s="140">
        <v>1.6</v>
      </c>
      <c r="B36" s="140">
        <v>1.65</v>
      </c>
      <c r="C36" s="141">
        <f t="shared" si="0"/>
        <v>1.625</v>
      </c>
      <c r="D36" s="62"/>
      <c r="E36" s="6">
        <v>276.7</v>
      </c>
      <c r="F36" s="6">
        <v>19.899999999999999</v>
      </c>
      <c r="G36" s="6">
        <f t="shared" si="1"/>
        <v>0.89970599688473507</v>
      </c>
      <c r="H36" s="6" t="s">
        <v>340</v>
      </c>
      <c r="I36" s="9"/>
      <c r="J36" s="9"/>
      <c r="K36" s="9"/>
      <c r="L36" s="9"/>
      <c r="M36" s="9"/>
      <c r="N36" s="9"/>
      <c r="O36" s="9"/>
      <c r="P36" s="9"/>
      <c r="Q36" s="9"/>
      <c r="R36" s="9"/>
      <c r="S36" s="9"/>
      <c r="T36" s="9"/>
      <c r="U36" s="9"/>
      <c r="V36" s="9"/>
    </row>
    <row r="37" spans="1:22">
      <c r="A37" s="140">
        <v>1.65</v>
      </c>
      <c r="B37" s="140">
        <v>1.7</v>
      </c>
      <c r="C37" s="141">
        <f t="shared" si="0"/>
        <v>1.6749999999999998</v>
      </c>
      <c r="D37" s="62"/>
      <c r="E37" s="6">
        <v>294.3</v>
      </c>
      <c r="F37" s="6">
        <v>21.9</v>
      </c>
      <c r="G37" s="6">
        <f t="shared" si="1"/>
        <v>0.90213105726872234</v>
      </c>
      <c r="H37" s="6" t="s">
        <v>340</v>
      </c>
      <c r="I37" s="9"/>
      <c r="J37" s="9"/>
      <c r="K37" s="9"/>
      <c r="L37" s="9"/>
      <c r="M37" s="9"/>
      <c r="N37" s="9"/>
      <c r="O37" s="9"/>
      <c r="P37" s="9"/>
      <c r="Q37" s="9"/>
      <c r="R37" s="9"/>
      <c r="S37" s="9"/>
      <c r="T37" s="9"/>
      <c r="U37" s="9"/>
      <c r="V37" s="9"/>
    </row>
    <row r="38" spans="1:22">
      <c r="A38" s="140">
        <v>1.7</v>
      </c>
      <c r="B38" s="140">
        <v>1.75</v>
      </c>
      <c r="C38" s="141">
        <f t="shared" si="0"/>
        <v>1.7250000000000001</v>
      </c>
      <c r="D38" s="62"/>
      <c r="E38" s="6">
        <v>227.8</v>
      </c>
      <c r="F38" s="6">
        <v>18.3</v>
      </c>
      <c r="G38" s="6">
        <f t="shared" si="1"/>
        <v>0.90793794749403334</v>
      </c>
      <c r="H38" s="6" t="s">
        <v>340</v>
      </c>
      <c r="I38" s="9"/>
      <c r="J38" s="9"/>
      <c r="K38" s="9"/>
      <c r="L38" s="9"/>
      <c r="M38" s="9"/>
      <c r="N38" s="9"/>
      <c r="O38" s="9"/>
      <c r="P38" s="9"/>
      <c r="Q38" s="9"/>
      <c r="R38" s="9"/>
      <c r="S38" s="9"/>
      <c r="T38" s="9"/>
      <c r="U38" s="9"/>
      <c r="V38" s="9"/>
    </row>
    <row r="39" spans="1:22">
      <c r="A39" s="140">
        <v>1.75</v>
      </c>
      <c r="B39" s="140">
        <v>1.8</v>
      </c>
      <c r="C39" s="141">
        <f t="shared" si="0"/>
        <v>1.7749999999999999</v>
      </c>
      <c r="D39" s="62"/>
      <c r="E39" s="6">
        <v>109.2</v>
      </c>
      <c r="F39" s="6">
        <v>9.1999999999999993</v>
      </c>
      <c r="G39" s="6">
        <f t="shared" si="1"/>
        <v>0.91182000000000007</v>
      </c>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H41" s="6" t="s">
        <v>327</v>
      </c>
      <c r="I41" s="9"/>
      <c r="J41" s="9"/>
      <c r="K41" s="9"/>
      <c r="L41" s="9"/>
      <c r="M41" s="9"/>
      <c r="N41" s="9"/>
      <c r="O41" s="9"/>
      <c r="P41" s="9"/>
      <c r="Q41" s="9"/>
      <c r="R41" s="9"/>
      <c r="S41" s="9"/>
      <c r="T41" s="9"/>
      <c r="U41" s="9"/>
      <c r="V41" s="9"/>
    </row>
    <row r="42" spans="1:22">
      <c r="A42" s="62"/>
      <c r="D42" s="62"/>
      <c r="H42" s="6" t="s">
        <v>326</v>
      </c>
      <c r="I42" s="9"/>
      <c r="J42" s="9"/>
      <c r="K42" s="9"/>
      <c r="L42" s="9"/>
      <c r="M42" s="9"/>
      <c r="N42" s="9"/>
      <c r="O42" s="9"/>
      <c r="P42" s="9"/>
      <c r="Q42" s="9"/>
      <c r="R42" s="9"/>
      <c r="S42" s="9"/>
      <c r="T42" s="9"/>
      <c r="U42" s="9"/>
      <c r="V42" s="9"/>
    </row>
    <row r="43" spans="1:22">
      <c r="A43" s="62"/>
      <c r="D43" s="62"/>
      <c r="I43" s="6" t="s">
        <v>328</v>
      </c>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58" t="s">
        <v>122</v>
      </c>
      <c r="G2" s="158"/>
      <c r="H2" s="158" t="s">
        <v>123</v>
      </c>
      <c r="I2" s="158"/>
      <c r="J2" s="159" t="s">
        <v>124</v>
      </c>
      <c r="K2" s="159"/>
      <c r="L2" s="158" t="s">
        <v>125</v>
      </c>
      <c r="M2" s="158"/>
      <c r="N2" s="159" t="s">
        <v>126</v>
      </c>
      <c r="O2" s="159"/>
      <c r="P2" s="161" t="s">
        <v>127</v>
      </c>
      <c r="Q2" s="161"/>
      <c r="R2" s="155" t="s">
        <v>128</v>
      </c>
      <c r="S2" s="155"/>
      <c r="T2" s="161" t="s">
        <v>129</v>
      </c>
      <c r="U2" s="161"/>
      <c r="V2" s="155" t="s">
        <v>130</v>
      </c>
      <c r="W2" s="155"/>
      <c r="X2" s="161" t="s">
        <v>131</v>
      </c>
      <c r="Y2" s="161"/>
      <c r="Z2" s="160" t="s">
        <v>132</v>
      </c>
      <c r="AA2" s="160"/>
      <c r="AB2" s="160" t="s">
        <v>133</v>
      </c>
      <c r="AC2" s="160"/>
      <c r="AD2" s="161" t="s">
        <v>134</v>
      </c>
      <c r="AE2" s="161"/>
      <c r="AF2" s="58" t="s">
        <v>95</v>
      </c>
      <c r="AG2" s="74"/>
      <c r="AH2" s="74"/>
      <c r="AI2" s="74"/>
      <c r="AJ2" s="73"/>
      <c r="AK2" s="73"/>
      <c r="AL2" s="73"/>
      <c r="AM2" s="73"/>
    </row>
    <row r="3" spans="1:39" ht="30">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85</v>
      </c>
      <c r="B1" s="58" t="s">
        <v>86</v>
      </c>
      <c r="C1" s="19"/>
      <c r="D1" s="58" t="s">
        <v>89</v>
      </c>
      <c r="E1" s="58" t="s">
        <v>90</v>
      </c>
      <c r="F1" s="58" t="s">
        <v>90</v>
      </c>
      <c r="G1" s="58" t="s">
        <v>91</v>
      </c>
      <c r="H1" s="155" t="s">
        <v>92</v>
      </c>
      <c r="I1" s="155"/>
      <c r="J1" s="155" t="s">
        <v>93</v>
      </c>
      <c r="K1" s="155"/>
      <c r="L1" s="60"/>
      <c r="M1" s="58" t="s">
        <v>95</v>
      </c>
      <c r="N1" s="9"/>
      <c r="O1" s="19" t="s">
        <v>141</v>
      </c>
      <c r="P1" s="19"/>
      <c r="Q1" s="9"/>
      <c r="R1" s="158" t="s">
        <v>122</v>
      </c>
      <c r="S1" s="158"/>
      <c r="T1" s="9"/>
      <c r="U1" s="58" t="s">
        <v>85</v>
      </c>
      <c r="V1" s="58" t="s">
        <v>86</v>
      </c>
      <c r="W1" s="19"/>
      <c r="X1" s="9"/>
      <c r="Y1" s="162" t="s">
        <v>142</v>
      </c>
      <c r="Z1" s="162"/>
      <c r="AA1" s="162"/>
      <c r="AB1" s="9"/>
      <c r="AC1" s="163" t="s">
        <v>143</v>
      </c>
      <c r="AD1" s="163"/>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5">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69"/>
      <c r="D44" s="69"/>
      <c r="I44" s="92"/>
      <c r="J44" s="92"/>
      <c r="K44" s="92"/>
      <c r="L44" s="92"/>
      <c r="M44" s="92"/>
      <c r="N44" s="92"/>
      <c r="O44" s="92"/>
      <c r="P44" s="92"/>
      <c r="Q44" s="92"/>
      <c r="R44" s="92"/>
      <c r="S44" s="92"/>
      <c r="T44" s="92"/>
      <c r="U44" s="92"/>
      <c r="V44" s="92"/>
      <c r="W44" s="92"/>
      <c r="X44" s="92"/>
      <c r="Y44" s="92"/>
      <c r="Z44" s="92"/>
    </row>
    <row r="45" spans="1:26" ht="15.75">
      <c r="A45" s="69"/>
      <c r="D45" s="69"/>
      <c r="I45" s="92"/>
      <c r="J45" s="92"/>
      <c r="K45" s="92"/>
      <c r="L45" s="92"/>
      <c r="M45" s="92"/>
      <c r="N45" s="92"/>
      <c r="O45" s="92"/>
      <c r="P45" s="92"/>
      <c r="Q45" s="92"/>
      <c r="R45" s="92"/>
      <c r="S45" s="92"/>
      <c r="T45" s="92"/>
      <c r="U45" s="92"/>
      <c r="V45" s="92"/>
      <c r="W45" s="92"/>
      <c r="X45" s="92"/>
      <c r="Y45" s="92"/>
      <c r="Z45" s="92"/>
    </row>
    <row r="46" spans="1:26" ht="15.75">
      <c r="A46" s="69"/>
      <c r="D46" s="69"/>
      <c r="I46" s="92"/>
      <c r="J46" s="92"/>
      <c r="K46" s="92"/>
      <c r="L46" s="92"/>
      <c r="M46" s="92"/>
      <c r="N46" s="92"/>
      <c r="O46" s="92"/>
      <c r="P46" s="92"/>
      <c r="Q46" s="92"/>
      <c r="R46" s="92"/>
      <c r="S46" s="92"/>
      <c r="T46" s="92"/>
      <c r="U46" s="92"/>
      <c r="V46" s="92"/>
      <c r="W46" s="92"/>
      <c r="X46" s="92"/>
      <c r="Y46" s="92"/>
      <c r="Z46" s="92"/>
    </row>
    <row r="47" spans="1:26" ht="15.75">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65"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168</v>
      </c>
      <c r="B1" s="136" t="s">
        <v>169</v>
      </c>
      <c r="C1" s="136" t="s">
        <v>170</v>
      </c>
      <c r="D1" s="136" t="s">
        <v>171</v>
      </c>
      <c r="E1" s="136" t="s">
        <v>172</v>
      </c>
      <c r="F1" s="136" t="s">
        <v>173</v>
      </c>
      <c r="G1" s="136" t="s">
        <v>174</v>
      </c>
      <c r="H1" s="136" t="s">
        <v>175</v>
      </c>
      <c r="I1" s="164" t="s">
        <v>176</v>
      </c>
      <c r="J1" s="164"/>
      <c r="K1" s="164"/>
      <c r="L1" s="164"/>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5">
      <c r="A14" s="138" t="s">
        <v>3</v>
      </c>
      <c r="B14" t="s">
        <v>271</v>
      </c>
      <c r="F14" t="s">
        <v>272</v>
      </c>
    </row>
    <row r="15" spans="1:13" ht="15">
      <c r="A15" s="138" t="s">
        <v>273</v>
      </c>
      <c r="B15" t="s">
        <v>274</v>
      </c>
      <c r="F15" t="s">
        <v>275</v>
      </c>
    </row>
    <row r="16" spans="1:13" ht="15">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2026-02-17T16:32:17Z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