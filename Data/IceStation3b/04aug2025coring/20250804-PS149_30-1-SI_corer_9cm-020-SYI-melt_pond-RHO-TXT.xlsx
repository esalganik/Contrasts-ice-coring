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3b\04aug2025coring\"/>
    </mc:Choice>
  </mc:AlternateContent>
  <xr:revisionPtr revIDLastSave="0" documentId="13_ncr:1_{E389A927-280A-4E71-B8A4-47541176AA2A}" xr6:coauthVersionLast="47" xr6:coauthVersionMax="47" xr10:uidLastSave="{00000000-0000-0000-0000-000000000000}"/>
  <bookViews>
    <workbookView xWindow="5070" yWindow="720" windowWidth="19410" windowHeight="20880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38" i="7" l="1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B5" i="5"/>
</calcChain>
</file>

<file path=xl/sharedStrings.xml><?xml version="1.0" encoding="utf-8"?>
<sst xmlns="http://schemas.openxmlformats.org/spreadsheetml/2006/main" count="714" uniqueCount="371">
  <si>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</si>
  <si>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</si>
  <si>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</si>
  <si>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</si>
  <si>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</si>
  <si>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</si>
  <si>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</si>
  <si>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</si>
  <si>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</si>
  <si>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</si>
  <si>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</si>
  <si>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</si>
  <si>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</si>
  <si>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</si>
  <si>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</si>
  <si>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</si>
  <si>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</si>
  <si>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</si>
  <si>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</si>
  <si>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</si>
  <si>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</si>
  <si>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</si>
  <si>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</si>
  <si>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</si>
  <si>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</si>
  <si>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</si>
  <si>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</si>
  <si>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</si>
  <si>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</si>
  <si>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</si>
  <si>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</si>
  <si>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</si>
  <si>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</si>
  <si>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</si>
  <si>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</si>
  <si>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</si>
  <si>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</si>
  <si>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</si>
  <si>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</si>
  <si>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</si>
  <si>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</si>
  <si>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</si>
  <si>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</si>
  <si>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</si>
  <si>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</si>
  <si>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</si>
  <si>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</si>
  <si>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</si>
  <si>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</si>
  <si>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</si>
  <si>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</si>
  <si>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</si>
  <si>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</si>
  <si>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</si>
  <si>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</si>
  <si>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</si>
  <si>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</si>
  <si>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</si>
  <si>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</si>
  <si>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</si>
  <si>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</si>
  <si>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</si>
  <si>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</si>
  <si>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</si>
  <si>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</si>
  <si>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</si>
  <si>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</si>
  <si>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</si>
  <si>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</si>
  <si>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</si>
  <si>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</si>
  <si>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</si>
  <si>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</si>
  <si>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</si>
  <si>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</si>
  <si>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</si>
  <si>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</si>
  <si>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</si>
  <si>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</si>
  <si>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</si>
  <si>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</si>
  <si>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</si>
  <si>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</si>
  <si>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</si>
  <si>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</si>
  <si>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</si>
  <si>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</si>
  <si>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</si>
  <si>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</si>
  <si>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</si>
  <si>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</si>
  <si>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</si>
  <si>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</si>
  <si>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</si>
  <si>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</si>
  <si>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</si>
  <si>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</si>
  <si>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</si>
  <si>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</si>
  <si>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</si>
  <si>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</si>
  <si>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</si>
  <si>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</si>
  <si>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</si>
  <si>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</si>
  <si>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</si>
  <si>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</si>
  <si>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</si>
  <si>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</si>
  <si>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</si>
  <si>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</si>
  <si>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</si>
  <si>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</si>
  <si>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</si>
  <si>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</si>
  <si>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</si>
  <si>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</si>
  <si>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</si>
  <si>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</si>
  <si>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</si>
  <si>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</si>
  <si>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</si>
  <si>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</si>
  <si>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</si>
  <si>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</si>
  <si>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</si>
  <si>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</si>
  <si>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</si>
  <si>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</si>
  <si>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</si>
  <si>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</si>
  <si>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</si>
  <si>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</si>
  <si>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</si>
  <si>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</si>
  <si>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</si>
  <si>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</si>
  <si>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</si>
  <si>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</si>
  <si>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</si>
  <si>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</si>
  <si>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</si>
  <si>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</si>
  <si>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</si>
  <si>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</si>
  <si>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</si>
  <si>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</si>
  <si>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</si>
  <si>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</si>
  <si>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</si>
  <si>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</si>
  <si>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</si>
  <si>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</si>
  <si>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</si>
  <si>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</si>
  <si>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</si>
  <si>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</si>
  <si>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</si>
  <si>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</si>
  <si>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</si>
  <si>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</si>
  <si>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</si>
  <si>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</si>
  <si>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</si>
  <si>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</si>
  <si>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</si>
  <si>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</si>
  <si>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</si>
  <si>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</si>
  <si>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</si>
  <si>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</si>
  <si>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</si>
  <si>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</si>
  <si>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</si>
  <si>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</si>
  <si>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</si>
  <si>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</si>
  <si>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</si>
  <si>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</si>
  <si>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</si>
  <si>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</si>
  <si>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</si>
  <si>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</si>
  <si>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</si>
  <si>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</si>
  <si>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</si>
  <si>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</si>
  <si>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</si>
  <si>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</si>
  <si>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</si>
  <si>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</si>
  <si>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</si>
  <si>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</si>
  <si>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</si>
  <si>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</si>
  <si>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</si>
  <si>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</si>
  <si>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</si>
  <si>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</si>
  <si>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</si>
  <si>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</si>
  <si>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</si>
  <si>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</si>
  <si>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</si>
  <si>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</si>
  <si>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</si>
  <si>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</si>
  <si>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</si>
  <si>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</si>
  <si>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</si>
  <si>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</si>
  <si>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</si>
  <si>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</si>
  <si>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</si>
  <si>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</si>
  <si>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</si>
  <si>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</si>
  <si>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</si>
  <si>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</si>
  <si>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</si>
  <si>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</si>
  <si>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</si>
  <si>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</si>
  <si>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</si>
  <si>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</si>
  <si>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</si>
  <si>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</si>
  <si>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</si>
  <si>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</si>
  <si>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</si>
  <si>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</si>
  <si>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</si>
  <si>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</si>
  <si>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</si>
  <si>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</si>
  <si>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</si>
  <si>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</si>
  <si>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</si>
  <si>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</si>
  <si>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</si>
  <si>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</si>
  <si>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</si>
  <si>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</si>
  <si>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</si>
  <si>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</si>
  <si>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</si>
  <si>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</si>
  <si>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</si>
  <si>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</si>
  <si>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</si>
  <si>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</si>
  <si>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</si>
  <si>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</si>
  <si>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</si>
  <si>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</si>
  <si>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</si>
  <si>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</si>
  <si>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</si>
  <si>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</si>
  <si>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</si>
  <si>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</si>
  <si>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</si>
  <si>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</si>
  <si>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</si>
  <si>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</si>
  <si>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</si>
  <si>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</si>
  <si>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</si>
  <si>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</si>
  <si>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</si>
  <si>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</si>
  <si>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</si>
  <si>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</si>
  <si>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</si>
  <si>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</si>
  <si>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</si>
  <si>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</si>
  <si>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</si>
  <si>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</si>
  <si>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</si>
  <si>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</si>
  <si>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</si>
  <si>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</si>
  <si>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</si>
  <si>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</si>
  <si>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</si>
  <si>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</si>
  <si>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</si>
  <si>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</si>
  <si>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</si>
  <si>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</si>
  <si>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</si>
  <si>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</si>
  <si>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</si>
  <si>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</si>
  <si>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</si>
  <si>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</si>
  <si>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</si>
  <si>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</si>
  <si>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</si>
  <si>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</si>
  <si>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</si>
  <si>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</si>
  <si>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</si>
  <si>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</si>
  <si>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</si>
  <si>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</si>
  <si>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</si>
  <si>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</si>
  <si>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</si>
  <si>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</si>
  <si>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</si>
  <si>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>20250804-PS149_30-1-SI_corer_9cm-016-SYI-SALO18</t>
  </si>
  <si>
    <t>PS149-3b</t>
  </si>
  <si>
    <t>Ice Station 3b (event 30-1), coring on the main coring site.  The ice floe is a SYI or older, typical thickness 1.8 m and even thicker on the first visit. Coring site on level ice some 80 m away of the ship and 10 m away of the first coring location; direction off the ship/main road. Thickness of the ice is only slighly less than on the previous coring. Snow/scatter on surface is almost gone. Surface is wet.</t>
  </si>
  <si>
    <t>20250804-PS149_30-1-SI_corer_9cm-019-SYI-RHO</t>
  </si>
  <si>
    <t>20250804-PS149_30-1-SI_corer_9cm-017-SYI-T</t>
  </si>
  <si>
    <t>20250804-PS149_30-1-SI_corer_9cm-018-SYI-REP</t>
  </si>
  <si>
    <t>mark start 337</t>
  </si>
  <si>
    <t>mark end 338</t>
  </si>
  <si>
    <t>20250804-PS149_30-1-SI_corer_9cm-018-SYI-RHO</t>
  </si>
  <si>
    <t>Core for densinometric measurements. Packed on the ice, brought onboard within 15 minutes after recovery and cut within 2 hours. The core was still not fully frozen and did not reach the lab T of -20. Some brine might have leacked during transport. Core pictures were taken both on the ice and onboard in the freezer lab.</t>
  </si>
  <si>
    <t>densinometry</t>
  </si>
  <si>
    <t>Shimadzu balance UX4200H+SK101 specific gravity kit</t>
  </si>
  <si>
    <t xml:space="preserve">Cond 3110 S/N (NPI); the same as the one used for other RHO cores of the PS149. </t>
  </si>
  <si>
    <t>measured right after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</si>
  <si>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</si>
  <si>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</si>
  <si>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</si>
  <si>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</si>
  <si>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</si>
  <si>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</si>
  <si>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</si>
  <si>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</si>
  <si>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</si>
  <si>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</si>
  <si>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</si>
  <si>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</si>
  <si>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</si>
  <si>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</si>
  <si>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</si>
  <si>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</si>
  <si>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</si>
  <si>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</si>
  <si>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</si>
  <si>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</si>
  <si>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</si>
  <si>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</si>
  <si>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</si>
  <si>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</si>
  <si>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</si>
  <si>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</si>
  <si>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</si>
  <si>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</si>
  <si>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</si>
  <si>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</si>
  <si>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</si>
  <si>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</si>
  <si>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</si>
  <si>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</si>
  <si>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</si>
  <si>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bubbles out at immersion</t>
  </si>
  <si>
    <t>large bubbles inside</t>
  </si>
  <si>
    <t>large bubbles inside; bubbles out at immersion</t>
  </si>
  <si>
    <t>large bubbles</t>
  </si>
  <si>
    <t>2 pieces, large bubbles, voids inside</t>
  </si>
  <si>
    <t>bubbles sizes decrease</t>
  </si>
  <si>
    <t>large and small bubbles</t>
  </si>
  <si>
    <t>small bubbles</t>
  </si>
  <si>
    <t>Tlab=-22</t>
  </si>
  <si>
    <t>rho_parafine=0.835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</si>
</sst>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Density SYI Station 3b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'Density-densimetry'!$C$4:$C$38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1.5750000000000002</c:v>
                </c:pt>
                <c:pt idx="32">
                  <c:v>1.625</c:v>
                </c:pt>
                <c:pt idx="33">
                  <c:v>1.6749999999999998</c:v>
                </c:pt>
                <c:pt idx="34">
                  <c:v>1.7250000000000001</c:v>
                </c:pt>
              </c:numCache>
            </c:numRef>
          </c:xVal>
          <c:yVal>
            <c:numRef>
              <c:f>'Density-densimetry'!$G$4:$G$38</c:f>
              <c:numCache>
                <c:formatCode>General</c:formatCode>
                <c:ptCount val="35"/>
                <c:pt idx="0">
                  <c:v>0.86726136363636352</c:v>
                </c:pt>
                <c:pt idx="1">
                  <c:v>0.88363747454175146</c:v>
                </c:pt>
                <c:pt idx="2">
                  <c:v>0.89864540182270081</c:v>
                </c:pt>
                <c:pt idx="3">
                  <c:v>0.87625807677689094</c:v>
                </c:pt>
                <c:pt idx="4">
                  <c:v>0.87280583369612541</c:v>
                </c:pt>
                <c:pt idx="5">
                  <c:v>0.85258306036499754</c:v>
                </c:pt>
                <c:pt idx="6">
                  <c:v>0.87789114043355332</c:v>
                </c:pt>
                <c:pt idx="7">
                  <c:v>0.88206949806949808</c:v>
                </c:pt>
                <c:pt idx="8">
                  <c:v>0.91127403846153843</c:v>
                </c:pt>
                <c:pt idx="9">
                  <c:v>0.8887583612040133</c:v>
                </c:pt>
                <c:pt idx="10">
                  <c:v>0.905019592476489</c:v>
                </c:pt>
                <c:pt idx="11">
                  <c:v>0.90709839357429711</c:v>
                </c:pt>
                <c:pt idx="12">
                  <c:v>0.90403543307086609</c:v>
                </c:pt>
                <c:pt idx="13">
                  <c:v>0.90635960044395125</c:v>
                </c:pt>
                <c:pt idx="14">
                  <c:v>0.90104122843920909</c:v>
                </c:pt>
                <c:pt idx="15">
                  <c:v>0.90765403830141544</c:v>
                </c:pt>
                <c:pt idx="16">
                  <c:v>0.89917880258899674</c:v>
                </c:pt>
                <c:pt idx="17">
                  <c:v>0.89541430881164097</c:v>
                </c:pt>
                <c:pt idx="18">
                  <c:v>0.88501388337961129</c:v>
                </c:pt>
                <c:pt idx="19">
                  <c:v>0.90796846846846846</c:v>
                </c:pt>
                <c:pt idx="20">
                  <c:v>0.9148783948115119</c:v>
                </c:pt>
                <c:pt idx="21">
                  <c:v>0.91147217272388203</c:v>
                </c:pt>
                <c:pt idx="22">
                  <c:v>0.91194664902998246</c:v>
                </c:pt>
                <c:pt idx="23">
                  <c:v>0.91474127050904497</c:v>
                </c:pt>
                <c:pt idx="24">
                  <c:v>0.91649547422274691</c:v>
                </c:pt>
                <c:pt idx="25">
                  <c:v>0.91602330508474572</c:v>
                </c:pt>
                <c:pt idx="26">
                  <c:v>0.91698313148788912</c:v>
                </c:pt>
                <c:pt idx="27">
                  <c:v>0.9173796369376479</c:v>
                </c:pt>
                <c:pt idx="28">
                  <c:v>0.91489617263843637</c:v>
                </c:pt>
                <c:pt idx="29">
                  <c:v>0.915388198757764</c:v>
                </c:pt>
                <c:pt idx="30">
                  <c:v>0.91528081865778188</c:v>
                </c:pt>
                <c:pt idx="31">
                  <c:v>0.91640759592795618</c:v>
                </c:pt>
                <c:pt idx="32">
                  <c:v>0.91561340640809441</c:v>
                </c:pt>
                <c:pt idx="33">
                  <c:v>0.91540491539081392</c:v>
                </c:pt>
                <c:pt idx="34">
                  <c:v>0.91343513058129733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77-4616-8A0F-5CB33497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414927"/>
        <c:axId val="1875411567"/>
      </c:scatterChart>
      <c:valAx>
        <c:axId val="187541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11567"/>
        <c:crosses val="autoZero"/>
        <c:crossBetween val="midCat"/>
      </c:valAx>
      <c:valAx>
        <c:axId val="18754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41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44823</xdr:colOff>
      <xdr:row>20</xdr:row>
      <xdr:rowOff>152400</xdr:rowOff>
    </xdr:from>
    <xdr:to>
      <xdr:col>17</xdr:col>
      <xdr:colOff>466164</xdr:colOff>
      <xdr:row>36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FB42E-4CC6-A0ED-4D1C-06DF965CA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6"/>
  <sheetViews>
    <sheetView zoomScale="85" zoomScaleNormal="85" workbookViewId="0">
      <selection activeCell="J5" sqref="J5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6" ht="15">
      <c r="A1" s="7" t="s">
        <v>0</v>
      </c>
      <c r="B1" s="8" t="s">
        <v>1</v>
      </c>
      <c r="C1" s="143" t="s">
        <v>320</v>
      </c>
      <c r="D1" s="143"/>
      <c r="E1" s="143"/>
      <c r="F1" s="9"/>
    </row>
    <row r="2" spans="1:6" ht="15">
      <c r="A2" s="7" t="s">
        <v>2</v>
      </c>
      <c r="B2" s="8"/>
      <c r="C2" s="10">
        <v>45873</v>
      </c>
      <c r="D2" s="11" t="s">
        <v>3</v>
      </c>
      <c r="E2" s="9"/>
      <c r="F2" s="9"/>
    </row>
    <row r="3" spans="1:6" ht="15">
      <c r="A3" s="7" t="s">
        <v>4</v>
      </c>
      <c r="B3" s="8"/>
      <c r="C3" s="12">
        <v>0.3972222222222222</v>
      </c>
      <c r="D3" s="11" t="s">
        <v>3</v>
      </c>
      <c r="E3" s="9"/>
      <c r="F3" s="9"/>
    </row>
    <row r="4" spans="1:6" ht="15">
      <c r="A4" s="13" t="s">
        <v>5</v>
      </c>
      <c r="B4" s="14" t="s">
        <v>1</v>
      </c>
      <c r="C4" s="143" t="s">
        <v>321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 ht="15">
      <c r="A6" s="15" t="s">
        <v>6</v>
      </c>
      <c r="B6" s="9"/>
      <c r="C6" s="9"/>
      <c r="D6" s="9"/>
      <c r="E6" s="9"/>
      <c r="F6" s="9"/>
    </row>
    <row r="7" spans="1:6" ht="15">
      <c r="A7" s="7" t="s">
        <v>7</v>
      </c>
      <c r="B7" s="8" t="s">
        <v>8</v>
      </c>
      <c r="C7" s="16">
        <v>1.72</v>
      </c>
      <c r="D7" s="17" t="s">
        <v>9</v>
      </c>
      <c r="E7" s="9"/>
      <c r="F7" s="9"/>
    </row>
    <row r="8" spans="1:6" ht="15">
      <c r="A8" s="7" t="s">
        <v>10</v>
      </c>
      <c r="B8" s="8" t="s">
        <v>8</v>
      </c>
      <c r="C8" s="16">
        <v>1.56</v>
      </c>
      <c r="D8" s="17" t="s">
        <v>9</v>
      </c>
      <c r="E8" s="9"/>
      <c r="F8" s="9"/>
    </row>
    <row r="9" spans="1:6" ht="15">
      <c r="A9" s="7" t="s">
        <v>11</v>
      </c>
      <c r="B9" s="8" t="s">
        <v>8</v>
      </c>
      <c r="C9" s="18"/>
      <c r="D9" s="9"/>
      <c r="E9" s="9"/>
      <c r="F9" s="9"/>
    </row>
    <row r="10" spans="1:6" ht="15">
      <c r="A10" s="7" t="s">
        <v>12</v>
      </c>
      <c r="B10" s="8" t="s">
        <v>8</v>
      </c>
      <c r="C10" s="16">
        <v>1.76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 ht="15">
      <c r="A12" s="19" t="s">
        <v>14</v>
      </c>
      <c r="B12" s="19"/>
      <c r="C12" s="19"/>
      <c r="D12" s="19"/>
      <c r="E12" s="19"/>
      <c r="F12" s="19"/>
    </row>
    <row r="13" spans="1:6" ht="15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324</v>
      </c>
    </row>
    <row r="16" spans="1:6">
      <c r="B16" s="6" t="s">
        <v>322</v>
      </c>
      <c r="C16" s="6" t="s">
        <v>323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7" zoomScale="85" zoomScaleNormal="85" workbookViewId="0">
      <selection activeCell="F38" sqref="F38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306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35.864800000000002</v>
      </c>
      <c r="E8" s="31"/>
      <c r="F8">
        <v>83</v>
      </c>
      <c r="G8" s="30">
        <v>36.262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26.704699999999999</v>
      </c>
      <c r="E9" s="35"/>
      <c r="F9">
        <v>-12</v>
      </c>
      <c r="G9" s="34">
        <v>17.5946</v>
      </c>
      <c r="I9" s="22" t="s">
        <v>318</v>
      </c>
      <c r="J9" s="22" t="s">
        <v>319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45873</v>
      </c>
      <c r="D12" s="38">
        <v>45873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0.3972222222222222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0.9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315</v>
      </c>
      <c r="D31" s="52" t="s">
        <v>316</v>
      </c>
      <c r="E31" s="52" t="s">
        <v>317</v>
      </c>
      <c r="F31" s="52" t="s">
        <v>312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11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314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5" zoomScale="85" zoomScaleNormal="85" workbookViewId="0">
      <selection activeCell="G30" sqref="G30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/>
      <c r="B5" s="140"/>
      <c r="C5" s="141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/>
      <c r="B6" s="141"/>
      <c r="C6" s="141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/>
      <c r="B7" s="140"/>
      <c r="C7" s="141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/>
      <c r="B8" s="141"/>
      <c r="C8" s="141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/>
      <c r="B9" s="140"/>
      <c r="C9" s="141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/>
      <c r="B10" s="141"/>
      <c r="C10" s="141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/>
      <c r="B11" s="140"/>
      <c r="C11" s="141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/>
      <c r="B12" s="141"/>
      <c r="C12" s="141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/>
      <c r="B13" s="140"/>
      <c r="C13" s="141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/>
      <c r="B14" s="141"/>
      <c r="C14" s="141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/>
      <c r="B15" s="140"/>
      <c r="C15" s="141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/>
      <c r="B16" s="141"/>
      <c r="C16" s="141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/>
      <c r="B17" s="140"/>
      <c r="C17" s="141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/>
      <c r="B18" s="141"/>
      <c r="C18" s="141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/>
      <c r="B19" s="140"/>
      <c r="C19" s="141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/>
      <c r="B20" s="141"/>
      <c r="C20" s="141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/>
      <c r="B21" s="140"/>
      <c r="C21" s="141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/>
      <c r="B22" s="141"/>
      <c r="C22" s="141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/>
      <c r="B23" s="141"/>
      <c r="C23" s="141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/>
      <c r="B24" s="141"/>
      <c r="C24" s="141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/>
      <c r="B25" s="141"/>
      <c r="C25" s="141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/>
      <c r="B26" s="141"/>
      <c r="C26" s="141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/>
      <c r="B27" s="141"/>
      <c r="C27" s="141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/>
      <c r="B28" s="141"/>
      <c r="C28" s="141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/>
      <c r="B29" s="141"/>
      <c r="C29" s="141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/>
      <c r="B30" s="141"/>
      <c r="C30" s="141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/>
      <c r="B31" s="141"/>
      <c r="C31" s="141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/>
      <c r="B32" s="141"/>
      <c r="C32" s="141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/>
      <c r="B33" s="141"/>
      <c r="C33" s="141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/>
      <c r="B34" s="141"/>
      <c r="C34" s="141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/>
      <c r="B35" s="141"/>
      <c r="C35" s="141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G18" sqref="G18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75">
      <c r="A4" s="69"/>
      <c r="B4" s="69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69"/>
      <c r="B5" s="69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69"/>
      <c r="B6" s="69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69"/>
      <c r="B7" s="69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69"/>
      <c r="B8" s="69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69"/>
      <c r="B9" s="69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69"/>
      <c r="B10" s="69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69"/>
      <c r="B11" s="69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69"/>
      <c r="B12" s="69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69"/>
      <c r="B13" s="69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69"/>
      <c r="B14" s="69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69"/>
      <c r="B15" s="69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69"/>
      <c r="B16" s="69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69"/>
      <c r="B17" s="69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69"/>
      <c r="B18" s="69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69"/>
      <c r="B19" s="69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69"/>
      <c r="B20" s="69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69"/>
      <c r="B21" s="69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8" sqref="F8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0.96</v>
      </c>
      <c r="D4" s="156"/>
      <c r="E4" s="156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0.96</v>
      </c>
      <c r="B5" s="6">
        <f>A5+0.8</f>
        <v>1.76</v>
      </c>
      <c r="D5" s="156"/>
      <c r="E5" s="156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0.28000000000000003</v>
      </c>
      <c r="D6" s="156" t="s">
        <v>181</v>
      </c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6"/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topLeftCell="A11" zoomScale="85" zoomScaleNormal="85" workbookViewId="0">
      <selection activeCell="I38" sqref="I38:I42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>
        <v>0</v>
      </c>
      <c r="B4" s="140">
        <v>0.05</v>
      </c>
      <c r="C4" s="141">
        <f>AVERAGE(A4:B4)</f>
        <v>2.5000000000000001E-2</v>
      </c>
      <c r="D4" s="62" t="s">
        <v>326</v>
      </c>
      <c r="E4" s="6">
        <v>228.5</v>
      </c>
      <c r="F4" s="6">
        <v>8.5</v>
      </c>
      <c r="G4" s="6">
        <f>0.835*E4/(E4-F4)</f>
        <v>0.86726136363636352</v>
      </c>
      <c r="H4" s="6" t="s">
        <v>363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>
        <v>0.05</v>
      </c>
      <c r="B5" s="140">
        <v>0.1</v>
      </c>
      <c r="C5" s="141">
        <f t="shared" ref="C5:C38" si="0">AVERAGE(A5:B5)</f>
        <v>7.5000000000000011E-2</v>
      </c>
      <c r="D5" s="62" t="s">
        <v>327</v>
      </c>
      <c r="E5" s="6">
        <v>259.8</v>
      </c>
      <c r="F5" s="6">
        <v>14.3</v>
      </c>
      <c r="G5" s="6">
        <f t="shared" ref="G5:G38" si="1">0.835*E5/(E5-F5)</f>
        <v>0.88363747454175146</v>
      </c>
      <c r="H5" s="6" t="s">
        <v>364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>
        <v>0.1</v>
      </c>
      <c r="B6" s="140">
        <v>0.15</v>
      </c>
      <c r="C6" s="141">
        <f t="shared" si="0"/>
        <v>0.125</v>
      </c>
      <c r="D6" s="62" t="s">
        <v>328</v>
      </c>
      <c r="E6" s="6">
        <v>259.8</v>
      </c>
      <c r="F6" s="6">
        <v>18.399999999999999</v>
      </c>
      <c r="G6" s="6">
        <f t="shared" si="1"/>
        <v>0.89864540182270081</v>
      </c>
      <c r="H6" s="6" t="s">
        <v>364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>
        <v>0.15</v>
      </c>
      <c r="B7" s="140">
        <v>0.2</v>
      </c>
      <c r="C7" s="141">
        <f t="shared" si="0"/>
        <v>0.17499999999999999</v>
      </c>
      <c r="D7" s="62" t="s">
        <v>329</v>
      </c>
      <c r="E7" s="6">
        <v>276.10000000000002</v>
      </c>
      <c r="F7" s="6">
        <v>13</v>
      </c>
      <c r="G7" s="6">
        <f t="shared" si="1"/>
        <v>0.87625807677689094</v>
      </c>
      <c r="H7" s="6" t="s">
        <v>364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>
        <v>0.2</v>
      </c>
      <c r="B8" s="140">
        <v>0.25</v>
      </c>
      <c r="C8" s="141">
        <f t="shared" si="0"/>
        <v>0.22500000000000001</v>
      </c>
      <c r="D8" s="62" t="s">
        <v>330</v>
      </c>
      <c r="E8" s="6">
        <v>240.1</v>
      </c>
      <c r="F8" s="6">
        <v>10.4</v>
      </c>
      <c r="G8" s="6">
        <f t="shared" si="1"/>
        <v>0.87280583369612541</v>
      </c>
      <c r="H8" s="6" t="s">
        <v>364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>
        <v>0.25</v>
      </c>
      <c r="B9" s="140">
        <v>0.3</v>
      </c>
      <c r="C9" s="141">
        <f t="shared" si="0"/>
        <v>0.27500000000000002</v>
      </c>
      <c r="D9" s="62" t="s">
        <v>331</v>
      </c>
      <c r="E9" s="6">
        <v>218.2</v>
      </c>
      <c r="F9" s="6">
        <v>4.5</v>
      </c>
      <c r="G9" s="6">
        <f t="shared" si="1"/>
        <v>0.85258306036499754</v>
      </c>
      <c r="H9" s="6" t="s">
        <v>365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>
        <v>0.3</v>
      </c>
      <c r="B10" s="140">
        <v>0.35</v>
      </c>
      <c r="C10" s="141">
        <f t="shared" si="0"/>
        <v>0.32499999999999996</v>
      </c>
      <c r="D10" s="62" t="s">
        <v>332</v>
      </c>
      <c r="E10" s="6">
        <v>223.1</v>
      </c>
      <c r="F10" s="6">
        <v>10.9</v>
      </c>
      <c r="G10" s="6">
        <f t="shared" si="1"/>
        <v>0.87789114043355332</v>
      </c>
      <c r="H10" s="6" t="s">
        <v>364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>
        <v>0.35</v>
      </c>
      <c r="B11" s="140">
        <v>0.4</v>
      </c>
      <c r="C11" s="141">
        <f t="shared" si="0"/>
        <v>0.375</v>
      </c>
      <c r="D11" s="62" t="s">
        <v>333</v>
      </c>
      <c r="E11" s="6">
        <v>273.60000000000002</v>
      </c>
      <c r="F11" s="6">
        <v>14.6</v>
      </c>
      <c r="G11" s="6">
        <f t="shared" si="1"/>
        <v>0.88206949806949808</v>
      </c>
      <c r="H11" s="6" t="s">
        <v>364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>
        <v>0.4</v>
      </c>
      <c r="B12" s="140">
        <v>0.45</v>
      </c>
      <c r="C12" s="141">
        <f t="shared" si="0"/>
        <v>0.42500000000000004</v>
      </c>
      <c r="D12" s="62" t="s">
        <v>334</v>
      </c>
      <c r="E12" s="6">
        <v>249.7</v>
      </c>
      <c r="F12" s="6">
        <v>20.9</v>
      </c>
      <c r="G12" s="6">
        <f t="shared" si="1"/>
        <v>0.91127403846153843</v>
      </c>
      <c r="H12" s="6" t="s">
        <v>366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>
        <v>0.45</v>
      </c>
      <c r="B13" s="140">
        <v>0.5</v>
      </c>
      <c r="C13" s="141">
        <f t="shared" si="0"/>
        <v>0.47499999999999998</v>
      </c>
      <c r="D13" s="62" t="s">
        <v>335</v>
      </c>
      <c r="E13" s="6">
        <v>254.6</v>
      </c>
      <c r="F13" s="6">
        <v>15.4</v>
      </c>
      <c r="G13" s="6">
        <f t="shared" si="1"/>
        <v>0.8887583612040133</v>
      </c>
      <c r="H13" s="6" t="s">
        <v>363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>
        <v>0.5</v>
      </c>
      <c r="B14" s="140">
        <v>0.55000000000000004</v>
      </c>
      <c r="C14" s="141">
        <f t="shared" si="0"/>
        <v>0.52500000000000002</v>
      </c>
      <c r="D14" s="62" t="s">
        <v>336</v>
      </c>
      <c r="E14" s="6">
        <v>276.60000000000002</v>
      </c>
      <c r="F14" s="6">
        <v>21.4</v>
      </c>
      <c r="G14" s="6">
        <f t="shared" si="1"/>
        <v>0.905019592476489</v>
      </c>
      <c r="H14" s="6" t="s">
        <v>367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>
        <v>0.55000000000000004</v>
      </c>
      <c r="B15" s="140">
        <v>0.6</v>
      </c>
      <c r="C15" s="141">
        <f t="shared" si="0"/>
        <v>0.57499999999999996</v>
      </c>
      <c r="D15" s="62" t="s">
        <v>337</v>
      </c>
      <c r="E15" s="6">
        <v>270.5</v>
      </c>
      <c r="F15" s="6">
        <v>21.5</v>
      </c>
      <c r="G15" s="6">
        <f t="shared" si="1"/>
        <v>0.90709839357429711</v>
      </c>
      <c r="H15" s="6" t="s">
        <v>367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>
        <v>0.6</v>
      </c>
      <c r="B16" s="140">
        <v>0.65</v>
      </c>
      <c r="C16" s="141">
        <f t="shared" si="0"/>
        <v>0.625</v>
      </c>
      <c r="D16" s="62" t="s">
        <v>338</v>
      </c>
      <c r="E16" s="6">
        <v>247.5</v>
      </c>
      <c r="F16" s="6">
        <v>18.899999999999999</v>
      </c>
      <c r="G16" s="6">
        <f t="shared" si="1"/>
        <v>0.90403543307086609</v>
      </c>
      <c r="H16" s="6" t="s">
        <v>367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>
        <v>0.65</v>
      </c>
      <c r="B17" s="140">
        <v>0.7</v>
      </c>
      <c r="C17" s="141">
        <f t="shared" si="0"/>
        <v>0.67500000000000004</v>
      </c>
      <c r="D17" s="62" t="s">
        <v>339</v>
      </c>
      <c r="E17" s="6">
        <v>293.39999999999998</v>
      </c>
      <c r="F17" s="6">
        <v>23.1</v>
      </c>
      <c r="G17" s="6">
        <f t="shared" si="1"/>
        <v>0.90635960044395125</v>
      </c>
      <c r="H17" s="6" t="s">
        <v>367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>
        <v>0.7</v>
      </c>
      <c r="B18" s="140">
        <v>0.75</v>
      </c>
      <c r="C18" s="141">
        <f t="shared" si="0"/>
        <v>0.72499999999999998</v>
      </c>
      <c r="D18" s="62" t="s">
        <v>340</v>
      </c>
      <c r="E18" s="6">
        <v>256.5</v>
      </c>
      <c r="F18" s="6">
        <v>18.8</v>
      </c>
      <c r="G18" s="6">
        <f t="shared" si="1"/>
        <v>0.90104122843920909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>
        <v>0.75</v>
      </c>
      <c r="B19" s="140">
        <v>0.8</v>
      </c>
      <c r="C19" s="141">
        <f t="shared" si="0"/>
        <v>0.77500000000000002</v>
      </c>
      <c r="D19" s="62" t="s">
        <v>341</v>
      </c>
      <c r="E19" s="6">
        <v>261.10000000000002</v>
      </c>
      <c r="F19" s="6">
        <v>20.9</v>
      </c>
      <c r="G19" s="6">
        <f t="shared" si="1"/>
        <v>0.90765403830141544</v>
      </c>
      <c r="H19" s="6" t="s">
        <v>368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>
        <v>0.8</v>
      </c>
      <c r="B20" s="140">
        <v>0.85</v>
      </c>
      <c r="C20" s="141">
        <f t="shared" si="0"/>
        <v>0.82499999999999996</v>
      </c>
      <c r="D20" s="62" t="s">
        <v>342</v>
      </c>
      <c r="E20" s="6">
        <v>266.2</v>
      </c>
      <c r="F20" s="6">
        <v>19</v>
      </c>
      <c r="G20" s="6">
        <f t="shared" si="1"/>
        <v>0.89917880258899674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>
        <v>0.85</v>
      </c>
      <c r="B21" s="140">
        <v>0.9</v>
      </c>
      <c r="C21" s="141">
        <f t="shared" si="0"/>
        <v>0.875</v>
      </c>
      <c r="D21" s="62" t="s">
        <v>343</v>
      </c>
      <c r="E21" s="6">
        <v>265.3</v>
      </c>
      <c r="F21" s="6">
        <v>17.899999999999999</v>
      </c>
      <c r="G21" s="6">
        <f t="shared" si="1"/>
        <v>0.89541430881164097</v>
      </c>
      <c r="H21" s="6" t="s">
        <v>361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>
        <v>0.9</v>
      </c>
      <c r="B22" s="140">
        <v>0.95</v>
      </c>
      <c r="C22" s="141">
        <f t="shared" si="0"/>
        <v>0.92500000000000004</v>
      </c>
      <c r="D22" s="62" t="s">
        <v>344</v>
      </c>
      <c r="E22" s="6">
        <v>267.2</v>
      </c>
      <c r="F22" s="6">
        <v>15.1</v>
      </c>
      <c r="G22" s="6">
        <f t="shared" si="1"/>
        <v>0.88501388337961129</v>
      </c>
      <c r="H22" s="6" t="s">
        <v>361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>
        <v>0.95</v>
      </c>
      <c r="B23" s="140">
        <v>1</v>
      </c>
      <c r="C23" s="141">
        <f t="shared" si="0"/>
        <v>0.97499999999999998</v>
      </c>
      <c r="D23" s="62" t="s">
        <v>345</v>
      </c>
      <c r="E23" s="6">
        <v>241.4</v>
      </c>
      <c r="F23" s="6">
        <v>19.399999999999999</v>
      </c>
      <c r="G23" s="6">
        <f t="shared" si="1"/>
        <v>0.90796846846846846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>
        <v>1</v>
      </c>
      <c r="B24" s="140">
        <v>1.05</v>
      </c>
      <c r="C24" s="141">
        <f t="shared" si="0"/>
        <v>1.0249999999999999</v>
      </c>
      <c r="D24" s="62" t="s">
        <v>346</v>
      </c>
      <c r="E24" s="6">
        <v>270.3</v>
      </c>
      <c r="F24" s="6">
        <v>23.6</v>
      </c>
      <c r="G24" s="6">
        <f t="shared" si="1"/>
        <v>0.9148783948115119</v>
      </c>
      <c r="H24" s="6" t="s">
        <v>361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>
        <v>1.05</v>
      </c>
      <c r="B25" s="140">
        <v>1.1000000000000001</v>
      </c>
      <c r="C25" s="141">
        <f t="shared" si="0"/>
        <v>1.0750000000000002</v>
      </c>
      <c r="D25" s="62" t="s">
        <v>347</v>
      </c>
      <c r="E25" s="6">
        <v>263.41000000000003</v>
      </c>
      <c r="F25" s="6">
        <v>22.1</v>
      </c>
      <c r="G25" s="6">
        <f t="shared" si="1"/>
        <v>0.91147217272388203</v>
      </c>
      <c r="H25" s="6" t="s">
        <v>362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>
        <v>1.1000000000000001</v>
      </c>
      <c r="B26" s="140">
        <v>1.1499999999999999</v>
      </c>
      <c r="C26" s="141">
        <f t="shared" si="0"/>
        <v>1.125</v>
      </c>
      <c r="D26" s="62" t="s">
        <v>348</v>
      </c>
      <c r="E26" s="6">
        <v>247.7</v>
      </c>
      <c r="F26" s="6">
        <v>20.9</v>
      </c>
      <c r="G26" s="6">
        <f t="shared" si="1"/>
        <v>0.91194664902998246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>
        <v>1.1499999999999999</v>
      </c>
      <c r="B27" s="140">
        <v>1.2</v>
      </c>
      <c r="C27" s="141">
        <f t="shared" si="0"/>
        <v>1.1749999999999998</v>
      </c>
      <c r="D27" s="62" t="s">
        <v>349</v>
      </c>
      <c r="E27" s="6">
        <v>260.39999999999998</v>
      </c>
      <c r="F27" s="6">
        <v>22.7</v>
      </c>
      <c r="G27" s="6">
        <f t="shared" si="1"/>
        <v>0.91474127050904497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140">
        <v>1.2</v>
      </c>
      <c r="B28" s="140">
        <v>1.25</v>
      </c>
      <c r="C28" s="141">
        <f t="shared" si="0"/>
        <v>1.2250000000000001</v>
      </c>
      <c r="D28" s="62" t="s">
        <v>350</v>
      </c>
      <c r="E28" s="6">
        <v>278.89999999999998</v>
      </c>
      <c r="F28" s="6">
        <v>24.8</v>
      </c>
      <c r="G28" s="6">
        <f t="shared" si="1"/>
        <v>0.91649547422274691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140">
        <v>1.25</v>
      </c>
      <c r="B29" s="140">
        <v>1.3</v>
      </c>
      <c r="C29" s="141">
        <f t="shared" si="0"/>
        <v>1.2749999999999999</v>
      </c>
      <c r="D29" s="62" t="s">
        <v>351</v>
      </c>
      <c r="E29" s="6">
        <v>258.89999999999998</v>
      </c>
      <c r="F29" s="6">
        <v>22.9</v>
      </c>
      <c r="G29" s="6">
        <f t="shared" si="1"/>
        <v>0.91602330508474572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140">
        <v>1.3</v>
      </c>
      <c r="B30" s="140">
        <v>1.35</v>
      </c>
      <c r="C30" s="141">
        <f t="shared" si="0"/>
        <v>1.3250000000000002</v>
      </c>
      <c r="D30" s="62" t="s">
        <v>352</v>
      </c>
      <c r="E30" s="6">
        <v>253.9</v>
      </c>
      <c r="F30" s="6">
        <v>22.7</v>
      </c>
      <c r="G30" s="6">
        <f t="shared" si="1"/>
        <v>0.91698313148788912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140">
        <v>1.35</v>
      </c>
      <c r="B31" s="140">
        <v>1.4</v>
      </c>
      <c r="C31" s="141">
        <f t="shared" si="0"/>
        <v>1.375</v>
      </c>
      <c r="D31" s="62" t="s">
        <v>353</v>
      </c>
      <c r="E31" s="6">
        <v>278.39999999999998</v>
      </c>
      <c r="F31" s="6">
        <v>25</v>
      </c>
      <c r="G31" s="6">
        <f t="shared" si="1"/>
        <v>0.9173796369376479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140">
        <v>1.4</v>
      </c>
      <c r="B32" s="140">
        <v>1.45</v>
      </c>
      <c r="C32" s="141">
        <f t="shared" si="0"/>
        <v>1.4249999999999998</v>
      </c>
      <c r="D32" s="62" t="s">
        <v>354</v>
      </c>
      <c r="E32" s="6">
        <v>269.10000000000002</v>
      </c>
      <c r="F32" s="6">
        <v>23.5</v>
      </c>
      <c r="G32" s="6">
        <f t="shared" si="1"/>
        <v>0.91489617263843637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140">
        <v>1.45</v>
      </c>
      <c r="B33" s="140">
        <v>1.5</v>
      </c>
      <c r="C33" s="141">
        <f t="shared" si="0"/>
        <v>1.4750000000000001</v>
      </c>
      <c r="D33" s="62" t="s">
        <v>355</v>
      </c>
      <c r="E33" s="6">
        <v>282.39999999999998</v>
      </c>
      <c r="F33" s="6">
        <v>24.8</v>
      </c>
      <c r="G33" s="6">
        <f t="shared" si="1"/>
        <v>0.915388198757764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140">
        <v>1.5</v>
      </c>
      <c r="B34" s="140">
        <v>1.55</v>
      </c>
      <c r="C34" s="141">
        <f t="shared" si="0"/>
        <v>1.5249999999999999</v>
      </c>
      <c r="D34" s="62" t="s">
        <v>356</v>
      </c>
      <c r="E34" s="6">
        <v>230.3</v>
      </c>
      <c r="F34" s="6">
        <v>20.2</v>
      </c>
      <c r="G34" s="6">
        <f t="shared" si="1"/>
        <v>0.91528081865778188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140">
        <v>1.55</v>
      </c>
      <c r="B35" s="140">
        <v>1.6</v>
      </c>
      <c r="C35" s="141">
        <f t="shared" si="0"/>
        <v>1.5750000000000002</v>
      </c>
      <c r="D35" s="62" t="s">
        <v>357</v>
      </c>
      <c r="E35" s="6">
        <v>280.3</v>
      </c>
      <c r="F35" s="6">
        <v>24.9</v>
      </c>
      <c r="G35" s="6">
        <f t="shared" si="1"/>
        <v>0.91640759592795618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140">
        <v>1.6</v>
      </c>
      <c r="B36" s="140">
        <v>1.65</v>
      </c>
      <c r="C36" s="141">
        <f t="shared" si="0"/>
        <v>1.625</v>
      </c>
      <c r="D36" s="62" t="s">
        <v>358</v>
      </c>
      <c r="E36" s="6">
        <v>260.10000000000002</v>
      </c>
      <c r="F36" s="6">
        <v>22.9</v>
      </c>
      <c r="G36" s="6">
        <f t="shared" si="1"/>
        <v>0.91561340640809441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140">
        <v>1.65</v>
      </c>
      <c r="B37" s="140">
        <v>1.7</v>
      </c>
      <c r="C37" s="141">
        <f t="shared" si="0"/>
        <v>1.6749999999999998</v>
      </c>
      <c r="D37" s="62" t="s">
        <v>359</v>
      </c>
      <c r="E37" s="6">
        <v>272.10000000000002</v>
      </c>
      <c r="F37" s="6">
        <v>23.9</v>
      </c>
      <c r="G37" s="6">
        <f t="shared" si="1"/>
        <v>0.91540491539081392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140">
        <v>1.7</v>
      </c>
      <c r="B38" s="140">
        <v>1.75</v>
      </c>
      <c r="C38" s="141">
        <f t="shared" si="0"/>
        <v>1.7250000000000001</v>
      </c>
      <c r="D38" s="62" t="s">
        <v>360</v>
      </c>
      <c r="E38" s="6">
        <v>259.7</v>
      </c>
      <c r="F38" s="6">
        <v>22.3</v>
      </c>
      <c r="G38" s="6">
        <f t="shared" si="1"/>
        <v>0.91343513058129733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H40" s="6" t="s">
        <v>370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H41" s="6" t="s">
        <v>369</v>
      </c>
      <c r="I41" s="9"/>
      <c r="J41" s="9"/>
      <c r="K41" s="9" t="s">
        <v>325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4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6"/>
    <col min="14" max="14" width="4.7109375" style="86" customWidth="1"/>
    <col min="15" max="16" width="13.28515625" style="86"/>
    <col min="17" max="17" width="4.7109375" style="86" customWidth="1"/>
    <col min="18" max="19" width="13.28515625" style="86"/>
    <col min="20" max="20" width="4.7109375" style="86" customWidth="1"/>
    <col min="21" max="23" width="13.28515625" style="86"/>
    <col min="24" max="24" width="4.7109375" style="86" customWidth="1"/>
    <col min="25" max="27" width="13.28515625" style="86"/>
    <col min="28" max="28" width="4.7109375" style="86" customWidth="1"/>
    <col min="29" max="30" width="13.28515625" style="86"/>
    <col min="31" max="31" width="4.7109375" style="86" customWidth="1"/>
    <col min="32" max="1023" width="13.28515625" style="86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40625" defaultRowHeight="12"/>
  <cols>
    <col min="1" max="6" width="13.140625" style="94"/>
    <col min="7" max="7" width="13.140625" style="95"/>
    <col min="8" max="14" width="13.140625" style="94"/>
    <col min="15" max="15" width="13.140625" style="95"/>
    <col min="16" max="18" width="13.140625" style="94"/>
    <col min="19" max="19" width="13.140625" style="96"/>
    <col min="20" max="1023" width="13.1406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65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8" t="s">
        <v>3</v>
      </c>
      <c r="B14" t="s">
        <v>271</v>
      </c>
      <c r="F14" t="s">
        <v>272</v>
      </c>
    </row>
    <row r="15" spans="1:13" ht="15">
      <c r="A15" s="138" t="s">
        <v>273</v>
      </c>
      <c r="B15" t="s">
        <v>274</v>
      </c>
      <c r="F15" t="s">
        <v>275</v>
      </c>
    </row>
    <row r="16" spans="1:13" ht="15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2026-02-17T16:46:14Z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