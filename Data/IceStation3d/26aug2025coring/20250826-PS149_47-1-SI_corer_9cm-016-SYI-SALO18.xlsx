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3d\26aug2025coring\"/>
    </mc:Choice>
  </mc:AlternateContent>
  <xr:revisionPtr revIDLastSave="0" documentId="13_ncr:1_{071688F8-B514-4C6D-B228-EE185B0C7A7C}" xr6:coauthVersionLast="47" xr6:coauthVersionMax="47" xr10:uidLastSave="{00000000-0000-0000-0000-000000000000}"/>
  <bookViews>
    <workbookView xWindow="-108" yWindow="-108" windowWidth="23256" windowHeight="12456" tabRatio="726" activeTab="2"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5" i="5" l="1"/>
  <c r="C35" i="3"/>
  <c r="C34" i="3"/>
  <c r="C33" i="3"/>
  <c r="C25" i="3"/>
  <c r="C26" i="3"/>
  <c r="C27" i="3"/>
  <c r="C28" i="3"/>
  <c r="C29" i="3"/>
  <c r="C30" i="3"/>
  <c r="C31" i="3"/>
  <c r="C32" i="3"/>
  <c r="C24" i="3"/>
  <c r="C23" i="3"/>
  <c r="C22" i="3"/>
  <c r="C21" i="3"/>
  <c r="C20" i="3"/>
  <c r="C19" i="3"/>
  <c r="C18" i="3"/>
  <c r="C17" i="3"/>
  <c r="C16" i="3"/>
  <c r="C15" i="3"/>
  <c r="C14" i="3"/>
  <c r="C13" i="3"/>
  <c r="C12" i="3"/>
  <c r="C11" i="3"/>
  <c r="C10" i="3"/>
  <c r="C9" i="3"/>
  <c r="C8" i="3"/>
  <c r="C7" i="3"/>
  <c r="C6" i="3"/>
  <c r="C5" i="3"/>
</calcChain>
</file>

<file path=xl/sharedStrings.xml><?xml version="1.0" encoding="utf-8"?>
<sst xmlns="http://schemas.openxmlformats.org/spreadsheetml/2006/main" count="747" uniqueCount="384">
  <si>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</si>
  <si>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</si>
  <si>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</si>
  <si>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</si>
  <si>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</si>
  <si>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</si>
  <si>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</si>
  <si>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</si>
  <si>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</si>
  <si>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</si>
  <si>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</si>
  <si>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</si>
  <si>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</si>
  <si>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</si>
  <si>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</si>
  <si>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</si>
  <si>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</si>
  <si>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</si>
  <si>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</si>
  <si>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</si>
  <si>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</si>
  <si>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</si>
  <si>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</si>
  <si>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</si>
  <si>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</si>
  <si>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</si>
  <si>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</si>
  <si>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</si>
  <si>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</si>
  <si>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</si>
  <si>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</si>
  <si>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</si>
  <si>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</si>
  <si>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</si>
  <si>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</si>
  <si>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</si>
  <si>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</si>
  <si>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</si>
  <si>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</si>
  <si>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</si>
  <si>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</si>
  <si>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</si>
  <si>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</si>
  <si>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</si>
  <si>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</si>
  <si>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</si>
  <si>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</si>
  <si>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</si>
  <si>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</si>
  <si>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</si>
  <si>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</si>
  <si>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</si>
  <si>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</si>
  <si>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</si>
  <si>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</si>
  <si>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</si>
  <si>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</si>
  <si>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</si>
  <si>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</si>
  <si>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</si>
  <si>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</si>
  <si>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</si>
  <si>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</si>
  <si>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</si>
  <si>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</si>
  <si>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</si>
  <si>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</si>
  <si>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</si>
  <si>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</si>
  <si>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</si>
  <si>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</si>
  <si>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</si>
  <si>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</si>
  <si>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</si>
  <si>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</si>
  <si>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</si>
  <si>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</si>
  <si>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</si>
  <si>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</si>
  <si>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</si>
  <si>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</si>
  <si>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</si>
  <si>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</si>
  <si>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</si>
  <si>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</si>
  <si>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</si>
  <si>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</si>
  <si>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</si>
  <si>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</si>
  <si>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</si>
  <si>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</si>
  <si>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</si>
  <si>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</si>
  <si>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</si>
  <si>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</si>
  <si>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</si>
  <si>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</si>
  <si>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</si>
  <si>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</si>
  <si>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</si>
  <si>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</si>
  <si>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</si>
  <si>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</si>
  <si>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</si>
  <si>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</si>
  <si>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</si>
  <si>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</si>
  <si>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</si>
  <si>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</si>
  <si>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</si>
  <si>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</si>
  <si>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</si>
  <si>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</si>
  <si>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</si>
  <si>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</si>
  <si>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</si>
  <si>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</si>
  <si>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</si>
  <si>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</si>
  <si>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</si>
  <si>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</si>
  <si>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</si>
  <si>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</si>
  <si>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</si>
  <si>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</si>
  <si>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</si>
  <si>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</si>
  <si>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</si>
  <si>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</si>
  <si>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</si>
  <si>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</si>
  <si>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</si>
  <si>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</si>
  <si>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</si>
  <si>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</si>
  <si>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</si>
  <si>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</si>
  <si>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</si>
  <si>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</si>
  <si>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</si>
  <si>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</si>
  <si>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</si>
  <si>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</si>
  <si>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</si>
  <si>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</si>
  <si>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</si>
  <si>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</si>
  <si>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</si>
  <si>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</si>
  <si>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</si>
  <si>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</si>
  <si>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</si>
  <si>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</si>
  <si>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</si>
  <si>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</si>
  <si>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</si>
  <si>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</si>
  <si>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</si>
  <si>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</si>
  <si>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</si>
  <si>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</si>
  <si>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</si>
  <si>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</si>
  <si>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</si>
  <si>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</si>
  <si>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</si>
  <si>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</si>
  <si>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</si>
  <si>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</si>
  <si>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</si>
  <si>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</si>
  <si>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</si>
  <si>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</si>
  <si>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</si>
  <si>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</si>
  <si>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</si>
  <si>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</si>
  <si>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</si>
  <si>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</si>
  <si>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</si>
  <si>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</si>
  <si>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</si>
  <si>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</si>
  <si>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</si>
  <si>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</si>
  <si>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</si>
  <si>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</si>
  <si>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</si>
  <si>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</si>
  <si>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</si>
  <si>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</si>
  <si>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</si>
  <si>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</si>
  <si>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</si>
  <si>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</si>
  <si>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</si>
  <si>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</si>
  <si>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</si>
  <si>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</si>
  <si>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</si>
  <si>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</si>
  <si>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</si>
  <si>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</si>
  <si>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</si>
  <si>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</si>
  <si>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</si>
  <si>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</si>
  <si>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</si>
  <si>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</si>
  <si>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</si>
  <si>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</si>
  <si>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</si>
  <si>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</si>
  <si>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</si>
  <si>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</si>
  <si>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</si>
  <si>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</si>
  <si>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</si>
  <si>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</si>
  <si>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</si>
  <si>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</si>
  <si>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</si>
  <si>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</si>
  <si>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</si>
  <si>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</si>
  <si>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</si>
  <si>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</si>
  <si>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</si>
  <si>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</si>
  <si>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</si>
  <si>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</si>
  <si>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</si>
  <si>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</si>
  <si>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</si>
  <si>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</si>
  <si>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</si>
  <si>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</si>
  <si>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</si>
  <si>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</si>
  <si>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</si>
  <si>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</si>
  <si>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</si>
  <si>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</si>
  <si>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</si>
  <si>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</si>
  <si>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</si>
  <si>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</si>
  <si>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</si>
  <si>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</si>
  <si>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</si>
  <si>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</si>
  <si>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</si>
  <si>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</si>
  <si>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</si>
  <si>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</si>
  <si>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</si>
  <si>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</si>
  <si>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</si>
  <si>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</si>
  <si>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</si>
  <si>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</si>
  <si>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</si>
  <si>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</si>
  <si>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</si>
  <si>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</si>
  <si>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</si>
  <si>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</si>
  <si>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</si>
  <si>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</si>
  <si>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</si>
  <si>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</si>
  <si>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</si>
  <si>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</si>
  <si>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</si>
  <si>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</si>
  <si>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</si>
  <si>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</si>
  <si>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</si>
  <si>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</si>
  <si>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</si>
  <si>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</si>
  <si>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</si>
  <si>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</si>
  <si>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</si>
  <si>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</si>
  <si>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</si>
  <si>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</si>
  <si>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</si>
  <si>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</si>
  <si>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</si>
  <si>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</si>
  <si>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</si>
  <si>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</si>
  <si>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</si>
  <si>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</si>
  <si>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</si>
  <si>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</si>
  <si>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</si>
  <si>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</si>
  <si>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</si>
  <si>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 xml:space="preserve">T-probe </t>
  </si>
  <si>
    <t>Testo (NPI)</t>
  </si>
  <si>
    <t>borehole</t>
  </si>
  <si>
    <t>Coring site SYI ice, level ice between the two melt ponds</t>
  </si>
  <si>
    <t xml:space="preserve"> longitude west!</t>
  </si>
  <si>
    <t>David Clemens-Sewall</t>
  </si>
  <si>
    <t>Salinity probe</t>
  </si>
  <si>
    <t>X01</t>
  </si>
  <si>
    <t>X02</t>
  </si>
  <si>
    <t>X03</t>
  </si>
  <si>
    <t>X04</t>
  </si>
  <si>
    <t>X05</t>
  </si>
  <si>
    <t>X06</t>
  </si>
  <si>
    <t>X07</t>
  </si>
  <si>
    <t>X08</t>
  </si>
  <si>
    <t>X09</t>
  </si>
  <si>
    <t>X10</t>
  </si>
  <si>
    <t>X11</t>
  </si>
  <si>
    <t>X12</t>
  </si>
  <si>
    <t>X13</t>
  </si>
  <si>
    <t>X14</t>
  </si>
  <si>
    <t>X15</t>
  </si>
  <si>
    <t>X16</t>
  </si>
  <si>
    <t>Z01</t>
  </si>
  <si>
    <t>Z02</t>
  </si>
  <si>
    <t>Z03</t>
  </si>
  <si>
    <t>Z04</t>
  </si>
  <si>
    <t>section 1</t>
  </si>
  <si>
    <t>section 2</t>
  </si>
  <si>
    <t xml:space="preserve">Cond 3110 S/N 11440477; the same as the one used for other SALO18 cores of the PS149. </t>
  </si>
  <si>
    <t>cut on site</t>
  </si>
  <si>
    <t>sec1 ends, sec2 starts</t>
  </si>
  <si>
    <t>Z05</t>
  </si>
  <si>
    <t>Z06</t>
  </si>
  <si>
    <t>Z07</t>
  </si>
  <si>
    <t>Z08</t>
  </si>
  <si>
    <t>Z09</t>
  </si>
  <si>
    <t>Z10</t>
  </si>
  <si>
    <t>Z11</t>
  </si>
  <si>
    <t>Z12</t>
  </si>
  <si>
    <t>Z13</t>
  </si>
  <si>
    <t>Z14</t>
  </si>
  <si>
    <t>20250817-PS149_41-1-SI_corer_9cm-016-SYI-SALO18</t>
  </si>
  <si>
    <t>20250817-PS149_41-1-SI_corer_9cm-017-SYI-T</t>
  </si>
  <si>
    <t>20250817-PS149_41-1-SI_corer_9cm-018-SYI-REP</t>
  </si>
  <si>
    <t>20250817-PS149_41-1-SI_corer_9cm-019-SYI-RHO</t>
  </si>
  <si>
    <t>20250826-PS149_47-1-SI_corer_9cm-016-SYI-SALO18</t>
  </si>
  <si>
    <t>PS149-3d</t>
  </si>
  <si>
    <t>mark start 353,354</t>
  </si>
  <si>
    <t xml:space="preserve"> mark the end 355</t>
  </si>
  <si>
    <t>with SSL/superimposed ice</t>
  </si>
  <si>
    <t>odd A</t>
  </si>
  <si>
    <t>Ice Station 3d (event 47-1), coring on the main coring site.  The ice floe is a SYI or older, typical thickness 1.8 m and even thicker on the first visit. Coring site on level ice some 80 m away of the ship and a few meters  away of the third coring spot; direction off the ship/main road. Older coring holes (visible on the photos) and surface disturbed during previous visits were avoided. Thickness of the ice is about 1.6 m. Almost no thickness changes from the previous visit. The surface is covered with new (1-3 days old) snow of 2-4 cm thick.  Scatterlayer /superimposed ice up to 10 cm thick (see core pictures) underneath.  The top layer was quite hard to cut. The ponds that were expanding on the second visit are all drained. Only older ponds from the prevous summer(s) stays.</t>
  </si>
  <si>
    <t>PS149-DO18-250</t>
  </si>
  <si>
    <t>PS149-DO18-252</t>
  </si>
  <si>
    <t>PS149-DO18-251</t>
  </si>
  <si>
    <t>PS149-DO18-253</t>
  </si>
  <si>
    <t>PS149-DO18-254</t>
  </si>
  <si>
    <t>PS149-DO18-255</t>
  </si>
  <si>
    <t>PS149-DO18-256</t>
  </si>
  <si>
    <t>PS149-DO18-257</t>
  </si>
  <si>
    <t>PS149-DO18-258</t>
  </si>
  <si>
    <t>PS149-DO18-259</t>
  </si>
  <si>
    <t>PS149-DO18-260</t>
  </si>
  <si>
    <t>PS149-DO18-261</t>
  </si>
  <si>
    <t>PS149-DO18-262</t>
  </si>
  <si>
    <t>PS149-DO18-263</t>
  </si>
  <si>
    <t>PS149-DO18-264</t>
  </si>
  <si>
    <t>PS149-DO18-265</t>
  </si>
  <si>
    <t>PS149-DO18-266</t>
  </si>
  <si>
    <t>PS149-DO18-267</t>
  </si>
  <si>
    <t>PS149-DO18-268</t>
  </si>
  <si>
    <t>PS149-DO18-269</t>
  </si>
  <si>
    <t>PS149-DO18-270</t>
  </si>
  <si>
    <t>PS149-DO18-271</t>
  </si>
  <si>
    <t>PS149-DO18-272</t>
  </si>
  <si>
    <t>PS149-DO18-273</t>
  </si>
  <si>
    <t>PS149-DO18-274</t>
  </si>
  <si>
    <t>PS149-DO18-275</t>
  </si>
  <si>
    <t>PS149-DO18-276</t>
  </si>
  <si>
    <t>PS149-DO18-277</t>
  </si>
  <si>
    <t>PS149-DO18-278</t>
  </si>
  <si>
    <t>PS149-DO18-279</t>
  </si>
  <si>
    <t>PS149-DO18-280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</si>
</sst>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profile SYI Station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SALO18!$C$5:$C$39</c:f>
              <c:numCache>
                <c:formatCode>0.00</c:formatCode>
                <c:ptCount val="35"/>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0.99</c:v>
                </c:pt>
                <c:pt idx="20">
                  <c:v>1.0550000000000002</c:v>
                </c:pt>
                <c:pt idx="21">
                  <c:v>1.105</c:v>
                </c:pt>
                <c:pt idx="22">
                  <c:v>1.1549999999999998</c:v>
                </c:pt>
                <c:pt idx="23">
                  <c:v>1.2050000000000001</c:v>
                </c:pt>
                <c:pt idx="24">
                  <c:v>1.2549999999999999</c:v>
                </c:pt>
                <c:pt idx="25">
                  <c:v>1.3050000000000002</c:v>
                </c:pt>
                <c:pt idx="26">
                  <c:v>1.355</c:v>
                </c:pt>
                <c:pt idx="27">
                  <c:v>1.4049999999999998</c:v>
                </c:pt>
                <c:pt idx="28">
                  <c:v>1.4550000000000001</c:v>
                </c:pt>
                <c:pt idx="29">
                  <c:v>1.5049999999999999</c:v>
                </c:pt>
                <c:pt idx="30">
                  <c:v>1.5550000000000002</c:v>
                </c:pt>
              </c:numCache>
            </c:numRef>
          </c:xVal>
          <c:yVal>
            <c:numRef>
              <c:f>SALO18!$E$5:$E$39</c:f>
              <c:numCache>
                <c:formatCode>General</c:formatCode>
                <c:ptCount val="35"/>
                <c:pt idx="0">
                  <c:v>0</c:v>
                </c:pt>
                <c:pt idx="1">
                  <c:v>0</c:v>
                </c:pt>
                <c:pt idx="2">
                  <c:v>0</c:v>
                </c:pt>
                <c:pt idx="3">
                  <c:v>0</c:v>
                </c:pt>
                <c:pt idx="4">
                  <c:v>0</c:v>
                </c:pt>
                <c:pt idx="5">
                  <c:v>0</c:v>
                </c:pt>
                <c:pt idx="6">
                  <c:v>0</c:v>
                </c:pt>
                <c:pt idx="7">
                  <c:v>0</c:v>
                </c:pt>
                <c:pt idx="8">
                  <c:v>0.1</c:v>
                </c:pt>
                <c:pt idx="9">
                  <c:v>0.3</c:v>
                </c:pt>
                <c:pt idx="10">
                  <c:v>0.7</c:v>
                </c:pt>
                <c:pt idx="11">
                  <c:v>0.9</c:v>
                </c:pt>
                <c:pt idx="12">
                  <c:v>1.1000000000000001</c:v>
                </c:pt>
                <c:pt idx="13">
                  <c:v>1.7</c:v>
                </c:pt>
                <c:pt idx="14">
                  <c:v>1.5</c:v>
                </c:pt>
                <c:pt idx="15">
                  <c:v>1.8</c:v>
                </c:pt>
                <c:pt idx="16">
                  <c:v>2</c:v>
                </c:pt>
                <c:pt idx="17">
                  <c:v>2</c:v>
                </c:pt>
                <c:pt idx="18">
                  <c:v>2</c:v>
                </c:pt>
                <c:pt idx="19">
                  <c:v>1.7</c:v>
                </c:pt>
                <c:pt idx="20">
                  <c:v>2</c:v>
                </c:pt>
                <c:pt idx="21">
                  <c:v>2</c:v>
                </c:pt>
                <c:pt idx="22">
                  <c:v>1.9</c:v>
                </c:pt>
                <c:pt idx="23">
                  <c:v>1.8</c:v>
                </c:pt>
                <c:pt idx="24">
                  <c:v>1.8</c:v>
                </c:pt>
                <c:pt idx="25">
                  <c:v>1.8</c:v>
                </c:pt>
                <c:pt idx="26">
                  <c:v>2.2000000000000002</c:v>
                </c:pt>
                <c:pt idx="27">
                  <c:v>2.2999999999999998</c:v>
                </c:pt>
                <c:pt idx="28">
                  <c:v>2.1</c:v>
                </c:pt>
                <c:pt idx="29">
                  <c:v>2.6</c:v>
                </c:pt>
                <c:pt idx="30">
                  <c:v>1.9</c:v>
                </c:pt>
              </c:numCache>
            </c:numRef>
          </c:yVal>
          <c:smooth val="1"/>
          <c:extLst>
            <c:ext xmlns:c16="http://schemas.microsoft.com/office/drawing/2014/chart" uri="{C3380CC4-5D6E-409C-BE32-E72D297353CC}">
              <c16:uniqueId val="{00000000-F48E-4BF8-8433-BEF12F3B0D40}"/>
            </c:ext>
          </c:extLst>
        </c:ser>
        <c:dLbls>
          <c:showLegendKey val="0"/>
          <c:showVal val="0"/>
          <c:showCatName val="0"/>
          <c:showSerName val="0"/>
          <c:showPercent val="0"/>
          <c:showBubbleSize val="0"/>
        </c:dLbls>
        <c:axId val="1594004303"/>
        <c:axId val="1593994703"/>
      </c:scatterChart>
      <c:valAx>
        <c:axId val="1594004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593994703"/>
        <c:crosses val="autoZero"/>
        <c:crossBetween val="midCat"/>
      </c:valAx>
      <c:valAx>
        <c:axId val="159399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59400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89646</xdr:colOff>
      <xdr:row>6</xdr:row>
      <xdr:rowOff>89647</xdr:rowOff>
    </xdr:from>
    <xdr:to>
      <xdr:col>21</xdr:col>
      <xdr:colOff>80682</xdr:colOff>
      <xdr:row>21</xdr:row>
      <xdr:rowOff>143435</xdr:rowOff>
    </xdr:to>
    <xdr:graphicFrame macro="">
      <xdr:nvGraphicFramePr>
        <xdr:cNvPr id="2" name="Chart 1">
          <a:extLst>
            <a:ext uri="{FF2B5EF4-FFF2-40B4-BE49-F238E27FC236}">
              <a16:creationId xmlns:a16="http://schemas.microsoft.com/office/drawing/2014/main" id="{3309C991-0541-09B1-DE35-B901D2BF9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G18" sqref="G18"/>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346</v>
      </c>
      <c r="D1" s="143"/>
      <c r="E1" s="143"/>
      <c r="F1" s="9"/>
    </row>
    <row r="2" spans="1:7" ht="14.4">
      <c r="A2" s="7" t="s">
        <v>2</v>
      </c>
      <c r="B2" s="8"/>
      <c r="C2" s="10">
        <v>45895</v>
      </c>
      <c r="D2" s="11" t="s">
        <v>3</v>
      </c>
      <c r="E2" s="9"/>
      <c r="F2" s="9"/>
    </row>
    <row r="3" spans="1:7" ht="14.4">
      <c r="A3" s="7" t="s">
        <v>4</v>
      </c>
      <c r="B3" s="8"/>
      <c r="C3" s="12">
        <v>0.36875000000000002</v>
      </c>
      <c r="D3" s="11" t="s">
        <v>3</v>
      </c>
      <c r="E3" s="9"/>
      <c r="F3" s="9"/>
    </row>
    <row r="4" spans="1:7">
      <c r="A4" s="13" t="s">
        <v>5</v>
      </c>
      <c r="B4" s="14" t="s">
        <v>1</v>
      </c>
      <c r="C4" s="143" t="s">
        <v>330</v>
      </c>
      <c r="D4" s="143"/>
      <c r="E4" s="143"/>
      <c r="F4" s="9"/>
    </row>
    <row r="5" spans="1:7">
      <c r="A5" s="9"/>
      <c r="B5" s="9"/>
      <c r="C5" s="9"/>
      <c r="D5" s="9"/>
      <c r="E5" s="9"/>
      <c r="F5" s="9"/>
    </row>
    <row r="6" spans="1:7">
      <c r="A6" s="15" t="s">
        <v>6</v>
      </c>
      <c r="B6" s="9"/>
      <c r="C6" s="9"/>
      <c r="D6" s="9"/>
      <c r="E6" s="9"/>
      <c r="F6" s="9"/>
    </row>
    <row r="7" spans="1:7" ht="14.4">
      <c r="A7" s="7" t="s">
        <v>7</v>
      </c>
      <c r="B7" s="8" t="s">
        <v>8</v>
      </c>
      <c r="C7" s="16">
        <v>1.53</v>
      </c>
      <c r="D7" s="17" t="s">
        <v>9</v>
      </c>
      <c r="E7" s="9"/>
      <c r="F7" s="9"/>
    </row>
    <row r="8" spans="1:7" ht="14.4">
      <c r="A8" s="7" t="s">
        <v>10</v>
      </c>
      <c r="B8" s="8" t="s">
        <v>8</v>
      </c>
      <c r="C8" s="16">
        <v>1.36</v>
      </c>
      <c r="D8" s="17" t="s">
        <v>9</v>
      </c>
      <c r="E8" s="9"/>
      <c r="F8" s="9"/>
    </row>
    <row r="9" spans="1:7">
      <c r="A9" s="7" t="s">
        <v>11</v>
      </c>
      <c r="B9" s="8" t="s">
        <v>8</v>
      </c>
      <c r="C9" s="18"/>
      <c r="D9" s="9"/>
      <c r="E9" s="9"/>
      <c r="F9" s="9"/>
    </row>
    <row r="10" spans="1:7">
      <c r="A10" s="7" t="s">
        <v>12</v>
      </c>
      <c r="B10" s="8" t="s">
        <v>8</v>
      </c>
      <c r="C10" s="16">
        <v>1.58</v>
      </c>
      <c r="D10" s="9" t="s">
        <v>13</v>
      </c>
      <c r="E10" s="9"/>
      <c r="F10" s="9"/>
      <c r="G10" s="6" t="s">
        <v>350</v>
      </c>
    </row>
    <row r="11" spans="1:7">
      <c r="A11" s="9"/>
      <c r="B11" s="9"/>
      <c r="C11" s="9"/>
      <c r="D11" s="9"/>
      <c r="E11" s="9"/>
      <c r="F11" s="9"/>
    </row>
    <row r="12" spans="1:7">
      <c r="A12" s="19" t="s">
        <v>14</v>
      </c>
      <c r="B12" s="19"/>
      <c r="C12" s="19"/>
      <c r="D12" s="19"/>
      <c r="E12" s="19"/>
      <c r="F12" s="19"/>
    </row>
    <row r="13" spans="1:7">
      <c r="A13" s="19" t="s">
        <v>15</v>
      </c>
      <c r="B13" s="19"/>
      <c r="C13" s="143" t="s">
        <v>299</v>
      </c>
      <c r="D13" s="143"/>
      <c r="E13" s="143"/>
      <c r="F13" s="143"/>
    </row>
    <row r="14" spans="1:7">
      <c r="B14" s="6" t="s">
        <v>300</v>
      </c>
      <c r="C14" s="6" t="s">
        <v>301</v>
      </c>
      <c r="D14" s="5"/>
      <c r="E14" s="5"/>
      <c r="F14" s="5"/>
    </row>
    <row r="15" spans="1:7">
      <c r="B15" s="6" t="s">
        <v>306</v>
      </c>
      <c r="C15" s="6" t="s">
        <v>329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9"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303</v>
      </c>
      <c r="D4" s="150"/>
      <c r="E4" s="150"/>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26.426600000000001</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-6</v>
      </c>
      <c r="D9" s="34">
        <v>0.59079999999999999</v>
      </c>
      <c r="E9" s="35"/>
      <c r="G9" s="34"/>
      <c r="I9" s="22" t="s">
        <v>348</v>
      </c>
      <c r="J9" s="22" t="s">
        <v>349</v>
      </c>
      <c r="K9" s="22"/>
      <c r="L9" s="22" t="s">
        <v>304</v>
      </c>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45895</v>
      </c>
      <c r="D12" s="38">
        <v>45895</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0.36875000000000002</v>
      </c>
      <c r="D13" s="39">
        <v>0.42291666666666666</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0.02</v>
      </c>
      <c r="D16">
        <v>0.02</v>
      </c>
      <c r="E16">
        <v>0.03</v>
      </c>
      <c r="F16">
        <v>0.03</v>
      </c>
      <c r="G16">
        <v>0.04</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-0.6</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-1.2</v>
      </c>
      <c r="D28" s="49" t="s">
        <v>62</v>
      </c>
      <c r="E28" s="49"/>
      <c r="F28" s="22">
        <v>-1.2</v>
      </c>
      <c r="G28" s="22" t="s">
        <v>302</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347</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342</v>
      </c>
      <c r="D31" s="52" t="s">
        <v>343</v>
      </c>
      <c r="E31" s="52" t="s">
        <v>344</v>
      </c>
      <c r="F31" s="52" t="s">
        <v>345</v>
      </c>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305</v>
      </c>
      <c r="H32" s="22"/>
      <c r="I32" s="22"/>
      <c r="J32" s="22"/>
      <c r="K32" s="22"/>
      <c r="L32" s="22"/>
      <c r="M32" s="22"/>
      <c r="N32" s="22"/>
      <c r="O32" s="22"/>
      <c r="P32" s="22"/>
      <c r="Q32" s="22"/>
      <c r="R32" s="22"/>
      <c r="S32" s="22"/>
      <c r="T32" s="22"/>
      <c r="U32" s="22"/>
      <c r="V32" s="22"/>
      <c r="W32" s="22"/>
      <c r="X32" s="22"/>
      <c r="Y32" s="22"/>
    </row>
    <row r="33" spans="1:25" ht="12">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3.6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160</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236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352</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tabSelected="1" topLeftCell="A6" zoomScale="85" zoomScaleNormal="85" workbookViewId="0">
      <selection activeCell="J37" sqref="J37"/>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 t="s">
        <v>307</v>
      </c>
      <c r="E5" s="6">
        <v>0</v>
      </c>
      <c r="F5" s="6">
        <v>8.8300000000000003E-2</v>
      </c>
      <c r="G5" s="6">
        <v>19.899999999999999</v>
      </c>
      <c r="I5" s="6" t="s">
        <v>353</v>
      </c>
      <c r="K5" s="6" t="s">
        <v>353</v>
      </c>
      <c r="O5" s="9"/>
      <c r="P5" s="9"/>
      <c r="Q5" s="9"/>
      <c r="R5" s="9"/>
      <c r="S5" s="9"/>
      <c r="T5" s="9"/>
      <c r="U5" s="9"/>
      <c r="V5" s="9"/>
      <c r="W5" s="9"/>
      <c r="X5" s="9"/>
      <c r="Y5" s="9"/>
      <c r="Z5" s="9"/>
      <c r="AA5" s="9"/>
      <c r="AB5" s="9"/>
    </row>
    <row r="6" spans="1:1024">
      <c r="A6" s="140">
        <v>0.05</v>
      </c>
      <c r="B6" s="141">
        <v>0.1</v>
      </c>
      <c r="C6" s="141">
        <f t="shared" ref="C6:C35" si="0">AVERAGE(A6:B6)</f>
        <v>7.5000000000000011E-2</v>
      </c>
      <c r="D6" s="6" t="s">
        <v>308</v>
      </c>
      <c r="E6" s="6">
        <v>0</v>
      </c>
      <c r="F6" s="6">
        <v>5.2999999999999999E-2</v>
      </c>
      <c r="G6" s="6">
        <v>19</v>
      </c>
      <c r="I6" s="6" t="s">
        <v>355</v>
      </c>
      <c r="K6" s="6" t="s">
        <v>355</v>
      </c>
      <c r="O6" s="9"/>
      <c r="P6" s="9"/>
      <c r="Q6" s="9"/>
      <c r="R6" s="9"/>
      <c r="S6" s="9"/>
      <c r="T6" s="9"/>
      <c r="U6" s="9"/>
      <c r="V6" s="9"/>
      <c r="W6" s="9"/>
      <c r="X6" s="9"/>
      <c r="Y6" s="9"/>
      <c r="Z6" s="9"/>
      <c r="AA6" s="9"/>
      <c r="AB6" s="9"/>
    </row>
    <row r="7" spans="1:1024">
      <c r="A7" s="140">
        <v>0.1</v>
      </c>
      <c r="B7" s="140">
        <v>0.15</v>
      </c>
      <c r="C7" s="141">
        <f t="shared" si="0"/>
        <v>0.125</v>
      </c>
      <c r="D7" s="6" t="s">
        <v>309</v>
      </c>
      <c r="E7" s="6">
        <v>0</v>
      </c>
      <c r="F7" s="6">
        <v>5.6899999999999999E-2</v>
      </c>
      <c r="G7" s="6">
        <v>18.600000000000001</v>
      </c>
      <c r="I7" s="6" t="s">
        <v>354</v>
      </c>
      <c r="K7" s="6" t="s">
        <v>354</v>
      </c>
      <c r="O7" s="9"/>
      <c r="P7" s="9"/>
      <c r="Q7" s="9"/>
      <c r="R7" s="9"/>
      <c r="S7" s="9"/>
      <c r="T7" s="9"/>
      <c r="U7" s="9"/>
      <c r="V7" s="9"/>
      <c r="W7" s="9"/>
      <c r="X7" s="9"/>
      <c r="Y7" s="9"/>
      <c r="Z7" s="9"/>
      <c r="AA7" s="9"/>
      <c r="AB7" s="9"/>
    </row>
    <row r="8" spans="1:1024">
      <c r="A8" s="140">
        <v>0.15</v>
      </c>
      <c r="B8" s="141">
        <v>0.2</v>
      </c>
      <c r="C8" s="141">
        <f t="shared" si="0"/>
        <v>0.17499999999999999</v>
      </c>
      <c r="D8" s="6" t="s">
        <v>310</v>
      </c>
      <c r="E8" s="6">
        <v>0</v>
      </c>
      <c r="F8" s="6">
        <v>7.85E-2</v>
      </c>
      <c r="G8" s="6">
        <v>19</v>
      </c>
      <c r="I8" s="6" t="s">
        <v>356</v>
      </c>
      <c r="K8" s="6" t="s">
        <v>356</v>
      </c>
      <c r="O8" s="9"/>
      <c r="P8" s="9"/>
      <c r="Q8" s="9"/>
      <c r="R8" s="9"/>
      <c r="S8" s="9"/>
      <c r="T8" s="9"/>
      <c r="U8" s="9"/>
      <c r="V8" s="9"/>
      <c r="W8" s="9"/>
      <c r="X8" s="9"/>
      <c r="Y8" s="9"/>
      <c r="Z8" s="9"/>
      <c r="AA8" s="9"/>
      <c r="AB8" s="9"/>
    </row>
    <row r="9" spans="1:1024">
      <c r="A9" s="140">
        <v>0.2</v>
      </c>
      <c r="B9" s="140">
        <v>0.25</v>
      </c>
      <c r="C9" s="141">
        <f t="shared" si="0"/>
        <v>0.22500000000000001</v>
      </c>
      <c r="D9" s="6" t="s">
        <v>311</v>
      </c>
      <c r="E9" s="6">
        <v>0</v>
      </c>
      <c r="F9" s="6">
        <v>7.9200000000000007E-2</v>
      </c>
      <c r="G9" s="6">
        <v>18.7</v>
      </c>
      <c r="I9" s="6" t="s">
        <v>357</v>
      </c>
      <c r="K9" s="6" t="s">
        <v>357</v>
      </c>
      <c r="O9" s="9"/>
      <c r="P9" s="9"/>
      <c r="Q9" s="9"/>
      <c r="R9" s="9"/>
      <c r="S9" s="9"/>
      <c r="T9" s="9"/>
      <c r="U9" s="9"/>
      <c r="V9" s="9"/>
      <c r="W9" s="9"/>
      <c r="X9" s="9"/>
      <c r="Y9" s="9"/>
      <c r="Z9" s="9"/>
      <c r="AA9" s="9"/>
      <c r="AB9" s="9"/>
    </row>
    <row r="10" spans="1:1024">
      <c r="A10" s="140">
        <v>0.25</v>
      </c>
      <c r="B10" s="141">
        <v>0.3</v>
      </c>
      <c r="C10" s="141">
        <f t="shared" si="0"/>
        <v>0.27500000000000002</v>
      </c>
      <c r="D10" s="6" t="s">
        <v>312</v>
      </c>
      <c r="E10" s="6">
        <v>0</v>
      </c>
      <c r="F10" s="6">
        <v>7.1499999999999994E-2</v>
      </c>
      <c r="G10" s="6">
        <v>18</v>
      </c>
      <c r="I10" s="6" t="s">
        <v>358</v>
      </c>
      <c r="K10" s="6" t="s">
        <v>358</v>
      </c>
      <c r="O10" s="9"/>
      <c r="P10" s="9"/>
      <c r="Q10" s="9"/>
      <c r="R10" s="9"/>
      <c r="S10" s="9"/>
      <c r="T10" s="9"/>
      <c r="U10" s="9"/>
      <c r="V10" s="9"/>
      <c r="W10" s="9"/>
      <c r="X10" s="9"/>
      <c r="Y10" s="9"/>
      <c r="Z10" s="9"/>
      <c r="AA10" s="9"/>
      <c r="AB10" s="9"/>
    </row>
    <row r="11" spans="1:1024">
      <c r="A11" s="140">
        <v>0.3</v>
      </c>
      <c r="B11" s="140">
        <v>0.35</v>
      </c>
      <c r="C11" s="141">
        <f t="shared" si="0"/>
        <v>0.32499999999999996</v>
      </c>
      <c r="D11" s="6" t="s">
        <v>313</v>
      </c>
      <c r="E11" s="6">
        <v>0</v>
      </c>
      <c r="F11" s="6">
        <v>6.9900000000000004E-2</v>
      </c>
      <c r="G11" s="6">
        <v>16.8</v>
      </c>
      <c r="I11" s="6" t="s">
        <v>359</v>
      </c>
      <c r="K11" s="6" t="s">
        <v>359</v>
      </c>
      <c r="O11" s="9"/>
      <c r="P11" s="9"/>
      <c r="Q11" s="9"/>
      <c r="R11" s="9"/>
      <c r="S11" s="9"/>
      <c r="T11" s="9"/>
      <c r="U11" s="9"/>
      <c r="V11" s="9"/>
      <c r="W11" s="9"/>
      <c r="X11" s="9"/>
      <c r="Y11" s="9"/>
      <c r="Z11" s="9"/>
      <c r="AA11" s="9"/>
      <c r="AB11" s="9"/>
    </row>
    <row r="12" spans="1:1024">
      <c r="A12" s="140">
        <v>0.35</v>
      </c>
      <c r="B12" s="141">
        <v>0.4</v>
      </c>
      <c r="C12" s="141">
        <f t="shared" si="0"/>
        <v>0.375</v>
      </c>
      <c r="D12" s="6" t="s">
        <v>314</v>
      </c>
      <c r="E12" s="6">
        <v>0</v>
      </c>
      <c r="F12" s="6">
        <v>0.16</v>
      </c>
      <c r="G12" s="6">
        <v>18.600000000000001</v>
      </c>
      <c r="I12" s="6" t="s">
        <v>360</v>
      </c>
      <c r="K12" s="6" t="s">
        <v>360</v>
      </c>
      <c r="O12" s="9"/>
      <c r="P12" s="9"/>
      <c r="Q12" s="9"/>
      <c r="R12" s="9"/>
      <c r="S12" s="9"/>
      <c r="T12" s="9"/>
      <c r="U12" s="9"/>
      <c r="V12" s="9"/>
      <c r="W12" s="9"/>
      <c r="X12" s="9"/>
      <c r="Y12" s="9"/>
      <c r="Z12" s="9"/>
      <c r="AA12" s="9"/>
      <c r="AB12" s="9"/>
    </row>
    <row r="13" spans="1:1024">
      <c r="A13" s="140">
        <v>0.4</v>
      </c>
      <c r="B13" s="140">
        <v>0.45</v>
      </c>
      <c r="C13" s="141">
        <f t="shared" si="0"/>
        <v>0.42500000000000004</v>
      </c>
      <c r="D13" s="6" t="s">
        <v>315</v>
      </c>
      <c r="E13" s="62">
        <v>0.1</v>
      </c>
      <c r="F13" s="6">
        <v>0.42799999999999999</v>
      </c>
      <c r="G13" s="6">
        <v>16.7</v>
      </c>
      <c r="I13" s="6" t="s">
        <v>361</v>
      </c>
      <c r="K13" s="6" t="s">
        <v>361</v>
      </c>
      <c r="O13" s="9"/>
      <c r="P13" s="9"/>
      <c r="Q13" s="9"/>
      <c r="R13" s="9"/>
      <c r="S13" s="9"/>
      <c r="T13" s="9"/>
      <c r="U13" s="9"/>
      <c r="V13" s="9"/>
      <c r="W13" s="9"/>
      <c r="X13" s="9"/>
      <c r="Y13" s="9"/>
      <c r="Z13" s="9"/>
      <c r="AA13" s="9"/>
      <c r="AB13" s="9"/>
    </row>
    <row r="14" spans="1:1024">
      <c r="A14" s="140">
        <v>0.45</v>
      </c>
      <c r="B14" s="141">
        <v>0.5</v>
      </c>
      <c r="C14" s="141">
        <f t="shared" si="0"/>
        <v>0.47499999999999998</v>
      </c>
      <c r="D14" s="6" t="s">
        <v>316</v>
      </c>
      <c r="E14" s="62">
        <v>0.3</v>
      </c>
      <c r="F14" s="6">
        <v>0.69</v>
      </c>
      <c r="G14" s="6">
        <v>16.899999999999999</v>
      </c>
      <c r="I14" s="6" t="s">
        <v>362</v>
      </c>
      <c r="K14" s="6" t="s">
        <v>362</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 t="s">
        <v>317</v>
      </c>
      <c r="E15" s="62">
        <v>0.7</v>
      </c>
      <c r="F15" s="6">
        <v>1.413</v>
      </c>
      <c r="G15" s="6">
        <v>17.8</v>
      </c>
      <c r="I15" s="6" t="s">
        <v>363</v>
      </c>
      <c r="K15" s="6" t="s">
        <v>363</v>
      </c>
      <c r="O15" s="9"/>
      <c r="P15" s="9"/>
      <c r="Q15" s="9"/>
      <c r="R15" s="9"/>
      <c r="S15" s="9"/>
      <c r="T15" s="9"/>
      <c r="U15" s="9"/>
      <c r="V15" s="9"/>
      <c r="W15" s="9"/>
      <c r="X15" s="9"/>
      <c r="Y15" s="9"/>
      <c r="Z15" s="9"/>
      <c r="AA15" s="9"/>
      <c r="AB15" s="9"/>
    </row>
    <row r="16" spans="1:1024">
      <c r="A16" s="140">
        <v>0.55000000000000004</v>
      </c>
      <c r="B16" s="141">
        <v>0.6</v>
      </c>
      <c r="C16" s="141">
        <f t="shared" si="0"/>
        <v>0.57499999999999996</v>
      </c>
      <c r="D16" s="6" t="s">
        <v>318</v>
      </c>
      <c r="E16" s="62">
        <v>0.9</v>
      </c>
      <c r="F16" s="6">
        <v>1.8620000000000001</v>
      </c>
      <c r="G16" s="6">
        <v>17.100000000000001</v>
      </c>
      <c r="I16" s="6" t="s">
        <v>364</v>
      </c>
      <c r="K16" s="6" t="s">
        <v>364</v>
      </c>
      <c r="M16" s="62"/>
      <c r="O16" s="9"/>
      <c r="P16" s="9"/>
      <c r="Q16" s="9"/>
      <c r="R16" s="9"/>
      <c r="S16" s="9"/>
      <c r="T16" s="9"/>
      <c r="U16" s="9"/>
      <c r="V16" s="9"/>
      <c r="W16" s="9"/>
      <c r="X16" s="9"/>
      <c r="Y16" s="9"/>
      <c r="Z16" s="9"/>
      <c r="AA16" s="9"/>
      <c r="AB16" s="9"/>
    </row>
    <row r="17" spans="1:28">
      <c r="A17" s="140">
        <v>0.6</v>
      </c>
      <c r="B17" s="140">
        <v>0.65</v>
      </c>
      <c r="C17" s="141">
        <f t="shared" si="0"/>
        <v>0.625</v>
      </c>
      <c r="D17" s="6" t="s">
        <v>319</v>
      </c>
      <c r="E17" s="62">
        <v>1.1000000000000001</v>
      </c>
      <c r="F17" s="6">
        <v>2.2999999999999998</v>
      </c>
      <c r="G17" s="6">
        <v>17.7</v>
      </c>
      <c r="I17" s="6" t="s">
        <v>365</v>
      </c>
      <c r="K17" s="6" t="s">
        <v>365</v>
      </c>
      <c r="O17" s="9"/>
      <c r="P17" s="9"/>
      <c r="Q17" s="9"/>
      <c r="R17" s="9"/>
      <c r="S17" s="9"/>
      <c r="T17" s="9"/>
      <c r="U17" s="9"/>
      <c r="V17" s="9"/>
      <c r="W17" s="9"/>
      <c r="X17" s="9"/>
      <c r="Y17" s="9"/>
      <c r="Z17" s="9"/>
      <c r="AA17" s="9"/>
      <c r="AB17" s="9"/>
    </row>
    <row r="18" spans="1:28">
      <c r="A18" s="140">
        <v>0.65</v>
      </c>
      <c r="B18" s="141">
        <v>0.7</v>
      </c>
      <c r="C18" s="141">
        <f t="shared" si="0"/>
        <v>0.67500000000000004</v>
      </c>
      <c r="D18" s="6" t="s">
        <v>320</v>
      </c>
      <c r="E18" s="62">
        <v>1.7</v>
      </c>
      <c r="F18" s="6">
        <v>3.35</v>
      </c>
      <c r="G18" s="6">
        <v>17</v>
      </c>
      <c r="I18" s="6" t="s">
        <v>366</v>
      </c>
      <c r="K18" s="6" t="s">
        <v>366</v>
      </c>
      <c r="O18" s="9"/>
      <c r="P18" s="9"/>
      <c r="Q18" s="9"/>
      <c r="R18" s="9"/>
      <c r="S18" s="9"/>
      <c r="T18" s="9"/>
      <c r="U18" s="9"/>
      <c r="V18" s="9"/>
      <c r="W18" s="9"/>
      <c r="X18" s="9"/>
      <c r="Y18" s="9"/>
      <c r="Z18" s="9"/>
      <c r="AA18" s="9"/>
      <c r="AB18" s="9"/>
    </row>
    <row r="19" spans="1:28">
      <c r="A19" s="140">
        <v>0.7</v>
      </c>
      <c r="B19" s="140">
        <v>0.75</v>
      </c>
      <c r="C19" s="141">
        <f t="shared" si="0"/>
        <v>0.72499999999999998</v>
      </c>
      <c r="D19" s="6" t="s">
        <v>321</v>
      </c>
      <c r="E19" s="62">
        <v>1.5</v>
      </c>
      <c r="F19" s="6">
        <v>2.87</v>
      </c>
      <c r="G19" s="6">
        <v>16.7</v>
      </c>
      <c r="I19" s="6" t="s">
        <v>367</v>
      </c>
      <c r="K19" s="6" t="s">
        <v>367</v>
      </c>
      <c r="O19" s="9"/>
      <c r="P19" s="9"/>
      <c r="Q19" s="9"/>
      <c r="R19" s="9"/>
      <c r="S19" s="9"/>
      <c r="T19" s="9"/>
      <c r="U19" s="9"/>
      <c r="V19" s="9"/>
      <c r="W19" s="9"/>
      <c r="X19" s="9"/>
      <c r="Y19" s="9"/>
      <c r="Z19" s="9"/>
      <c r="AA19" s="9"/>
      <c r="AB19" s="9"/>
    </row>
    <row r="20" spans="1:28">
      <c r="A20" s="140">
        <v>0.75</v>
      </c>
      <c r="B20" s="141">
        <v>0.8</v>
      </c>
      <c r="C20" s="141">
        <f t="shared" si="0"/>
        <v>0.77500000000000002</v>
      </c>
      <c r="D20" s="6" t="s">
        <v>322</v>
      </c>
      <c r="E20" s="62">
        <v>1.8</v>
      </c>
      <c r="F20" s="6">
        <v>3.41</v>
      </c>
      <c r="G20" s="6">
        <v>17.2</v>
      </c>
      <c r="I20" s="6" t="s">
        <v>368</v>
      </c>
      <c r="K20" s="6" t="s">
        <v>368</v>
      </c>
      <c r="O20" s="9"/>
      <c r="P20" s="9"/>
      <c r="Q20" s="9"/>
      <c r="R20" s="9"/>
      <c r="S20" s="9"/>
      <c r="T20" s="9"/>
      <c r="U20" s="9"/>
      <c r="V20" s="9"/>
      <c r="W20" s="9"/>
      <c r="X20" s="9"/>
      <c r="Y20" s="9"/>
      <c r="Z20" s="9"/>
      <c r="AA20" s="9"/>
      <c r="AB20" s="9"/>
    </row>
    <row r="21" spans="1:28">
      <c r="A21" s="140">
        <v>0.8</v>
      </c>
      <c r="B21" s="140">
        <v>0.85</v>
      </c>
      <c r="C21" s="141">
        <f t="shared" si="0"/>
        <v>0.82499999999999996</v>
      </c>
      <c r="D21" s="6" t="s">
        <v>323</v>
      </c>
      <c r="E21" s="62">
        <v>2</v>
      </c>
      <c r="F21" s="6">
        <v>3.84</v>
      </c>
      <c r="G21" s="6">
        <v>17.600000000000001</v>
      </c>
      <c r="I21" s="6" t="s">
        <v>369</v>
      </c>
      <c r="K21" s="6" t="s">
        <v>369</v>
      </c>
      <c r="O21" s="9"/>
      <c r="P21" s="9"/>
      <c r="Q21" s="9"/>
      <c r="R21" s="9"/>
      <c r="S21" s="9"/>
      <c r="T21" s="9"/>
      <c r="U21" s="9"/>
      <c r="V21" s="9"/>
      <c r="W21" s="9"/>
      <c r="X21" s="9"/>
      <c r="Y21" s="9"/>
      <c r="Z21" s="9"/>
      <c r="AA21" s="9"/>
      <c r="AB21" s="9"/>
    </row>
    <row r="22" spans="1:28">
      <c r="A22" s="142">
        <v>0.85</v>
      </c>
      <c r="B22" s="141">
        <v>0.9</v>
      </c>
      <c r="C22" s="141">
        <f t="shared" si="0"/>
        <v>0.875</v>
      </c>
      <c r="D22" s="6" t="s">
        <v>324</v>
      </c>
      <c r="E22" s="62">
        <v>2</v>
      </c>
      <c r="F22" s="6">
        <v>3.81</v>
      </c>
      <c r="G22" s="6">
        <v>18.8</v>
      </c>
      <c r="I22" s="6" t="s">
        <v>370</v>
      </c>
      <c r="K22" s="6" t="s">
        <v>370</v>
      </c>
      <c r="O22" s="9"/>
      <c r="P22" s="9"/>
      <c r="Q22" s="9"/>
      <c r="R22" s="9"/>
      <c r="S22" s="9"/>
      <c r="T22" s="9"/>
      <c r="U22" s="9"/>
      <c r="V22" s="9"/>
      <c r="W22" s="9"/>
      <c r="X22" s="9"/>
      <c r="Y22" s="9"/>
      <c r="Z22" s="9"/>
      <c r="AA22" s="9"/>
      <c r="AB22" s="9"/>
    </row>
    <row r="23" spans="1:28">
      <c r="A23" s="142">
        <v>0.9</v>
      </c>
      <c r="B23" s="141">
        <v>0.95</v>
      </c>
      <c r="C23" s="141">
        <f t="shared" si="0"/>
        <v>0.92500000000000004</v>
      </c>
      <c r="D23" s="6" t="s">
        <v>325</v>
      </c>
      <c r="E23" s="62">
        <v>2</v>
      </c>
      <c r="F23" s="6">
        <v>3.84</v>
      </c>
      <c r="G23" s="6">
        <v>16.600000000000001</v>
      </c>
      <c r="I23" s="6" t="s">
        <v>371</v>
      </c>
      <c r="K23" s="6" t="s">
        <v>371</v>
      </c>
      <c r="N23" s="6" t="s">
        <v>331</v>
      </c>
      <c r="O23" s="9"/>
      <c r="P23" s="9"/>
      <c r="Q23" s="9"/>
      <c r="R23" s="9"/>
      <c r="S23" s="9"/>
      <c r="T23" s="9"/>
      <c r="U23" s="9"/>
      <c r="V23" s="9"/>
      <c r="W23" s="9"/>
      <c r="X23" s="9"/>
      <c r="Y23" s="9"/>
      <c r="Z23" s="9"/>
      <c r="AA23" s="9"/>
      <c r="AB23" s="9"/>
    </row>
    <row r="24" spans="1:28">
      <c r="A24" s="142">
        <v>0.95</v>
      </c>
      <c r="B24" s="141">
        <v>1.03</v>
      </c>
      <c r="C24" s="141">
        <f t="shared" si="0"/>
        <v>0.99</v>
      </c>
      <c r="D24" s="6" t="s">
        <v>351</v>
      </c>
      <c r="E24" s="62">
        <v>1.7</v>
      </c>
      <c r="F24" s="6">
        <v>3.36</v>
      </c>
      <c r="G24" s="6">
        <v>17.8</v>
      </c>
      <c r="I24" s="6" t="s">
        <v>372</v>
      </c>
      <c r="K24" s="6" t="s">
        <v>372</v>
      </c>
      <c r="O24" s="9"/>
      <c r="P24" s="9"/>
      <c r="Q24" s="9"/>
      <c r="R24" s="9"/>
      <c r="S24" s="9"/>
      <c r="T24" s="9"/>
      <c r="U24" s="9"/>
      <c r="V24" s="9"/>
      <c r="W24" s="9"/>
      <c r="X24" s="9"/>
      <c r="Y24" s="9"/>
      <c r="Z24" s="9"/>
      <c r="AA24" s="9"/>
      <c r="AB24" s="9"/>
    </row>
    <row r="25" spans="1:28">
      <c r="A25" s="140">
        <v>1.03</v>
      </c>
      <c r="B25" s="140">
        <v>1.08</v>
      </c>
      <c r="C25" s="141">
        <f t="shared" si="0"/>
        <v>1.0550000000000002</v>
      </c>
      <c r="D25" s="6" t="s">
        <v>326</v>
      </c>
      <c r="E25" s="62">
        <v>2</v>
      </c>
      <c r="F25" s="6">
        <v>3.75</v>
      </c>
      <c r="G25" s="6">
        <v>19.399999999999999</v>
      </c>
      <c r="I25" s="6" t="s">
        <v>373</v>
      </c>
      <c r="K25" s="6" t="s">
        <v>373</v>
      </c>
      <c r="O25" s="9"/>
      <c r="P25" s="9"/>
      <c r="Q25" s="9"/>
      <c r="R25" s="9"/>
      <c r="S25" s="9"/>
      <c r="T25" s="9"/>
      <c r="U25" s="9"/>
      <c r="V25" s="9"/>
      <c r="W25" s="9"/>
      <c r="X25" s="9"/>
      <c r="Y25" s="9"/>
      <c r="Z25" s="9"/>
      <c r="AA25" s="9"/>
      <c r="AB25" s="9"/>
    </row>
    <row r="26" spans="1:28">
      <c r="A26" s="140">
        <v>1.08</v>
      </c>
      <c r="B26" s="141">
        <v>1.1299999999999999</v>
      </c>
      <c r="C26" s="141">
        <f t="shared" si="0"/>
        <v>1.105</v>
      </c>
      <c r="D26" s="6" t="s">
        <v>332</v>
      </c>
      <c r="E26" s="62">
        <v>2</v>
      </c>
      <c r="F26" s="6">
        <v>3.87</v>
      </c>
      <c r="G26" s="6">
        <v>18.8</v>
      </c>
      <c r="I26" s="6" t="s">
        <v>374</v>
      </c>
      <c r="K26" s="6" t="s">
        <v>374</v>
      </c>
      <c r="O26" s="9"/>
      <c r="P26" s="9"/>
      <c r="Q26" s="9"/>
      <c r="R26" s="9"/>
      <c r="S26" s="9"/>
      <c r="T26" s="9"/>
      <c r="U26" s="9"/>
      <c r="V26" s="9"/>
      <c r="W26" s="9"/>
      <c r="X26" s="9"/>
      <c r="Y26" s="9"/>
      <c r="Z26" s="9"/>
      <c r="AA26" s="9"/>
      <c r="AB26" s="9"/>
    </row>
    <row r="27" spans="1:28" ht="26.1" customHeight="1">
      <c r="A27" s="140">
        <v>1.1299999999999999</v>
      </c>
      <c r="B27" s="140">
        <v>1.18</v>
      </c>
      <c r="C27" s="141">
        <f t="shared" si="0"/>
        <v>1.1549999999999998</v>
      </c>
      <c r="D27" s="6" t="s">
        <v>333</v>
      </c>
      <c r="E27" s="62">
        <v>1.9</v>
      </c>
      <c r="F27" s="6">
        <v>3.6</v>
      </c>
      <c r="G27" s="6">
        <v>17.600000000000001</v>
      </c>
      <c r="I27" s="6" t="s">
        <v>375</v>
      </c>
      <c r="K27" s="6" t="s">
        <v>375</v>
      </c>
      <c r="O27" s="2"/>
      <c r="P27" s="2"/>
      <c r="Q27" s="2"/>
      <c r="R27" s="2"/>
      <c r="S27" s="2"/>
      <c r="T27" s="2"/>
      <c r="U27" s="2"/>
      <c r="V27" s="2"/>
      <c r="W27" s="2"/>
      <c r="X27" s="2"/>
      <c r="Y27" s="2"/>
      <c r="Z27" s="2"/>
      <c r="AA27" s="2"/>
      <c r="AB27" s="2"/>
    </row>
    <row r="28" spans="1:28">
      <c r="A28" s="140">
        <v>1.18</v>
      </c>
      <c r="B28" s="141">
        <v>1.23</v>
      </c>
      <c r="C28" s="141">
        <f t="shared" si="0"/>
        <v>1.2050000000000001</v>
      </c>
      <c r="D28" s="6" t="s">
        <v>334</v>
      </c>
      <c r="E28" s="62">
        <v>1.8</v>
      </c>
      <c r="F28" s="6">
        <v>3.48</v>
      </c>
      <c r="G28" s="6">
        <v>17.399999999999999</v>
      </c>
      <c r="I28" s="6" t="s">
        <v>376</v>
      </c>
      <c r="K28" s="6" t="s">
        <v>376</v>
      </c>
      <c r="O28" s="2"/>
      <c r="P28" s="2"/>
      <c r="Q28" s="2"/>
      <c r="R28" s="2"/>
      <c r="S28" s="2"/>
      <c r="T28" s="2"/>
      <c r="U28" s="2"/>
      <c r="V28" s="2"/>
      <c r="W28" s="2"/>
      <c r="X28" s="2"/>
      <c r="Y28" s="2"/>
      <c r="Z28" s="2"/>
      <c r="AA28" s="2"/>
      <c r="AB28" s="2"/>
    </row>
    <row r="29" spans="1:28">
      <c r="A29" s="140">
        <v>1.23</v>
      </c>
      <c r="B29" s="140">
        <v>1.28</v>
      </c>
      <c r="C29" s="141">
        <f t="shared" si="0"/>
        <v>1.2549999999999999</v>
      </c>
      <c r="D29" s="6" t="s">
        <v>335</v>
      </c>
      <c r="E29" s="62">
        <v>1.8</v>
      </c>
      <c r="F29" s="6">
        <v>3.41</v>
      </c>
      <c r="G29" s="6">
        <v>17.399999999999999</v>
      </c>
      <c r="I29" s="6" t="s">
        <v>377</v>
      </c>
      <c r="K29" s="6" t="s">
        <v>377</v>
      </c>
      <c r="O29" s="9"/>
      <c r="P29" s="9"/>
      <c r="Q29" s="9"/>
      <c r="R29" s="9"/>
      <c r="S29" s="9"/>
      <c r="T29" s="9"/>
      <c r="U29" s="9"/>
      <c r="V29" s="9"/>
      <c r="W29" s="9"/>
      <c r="X29" s="9"/>
      <c r="Y29" s="9"/>
      <c r="Z29" s="9"/>
      <c r="AA29" s="9"/>
      <c r="AB29" s="9"/>
    </row>
    <row r="30" spans="1:28">
      <c r="A30" s="140">
        <v>1.28</v>
      </c>
      <c r="B30" s="141">
        <v>1.33</v>
      </c>
      <c r="C30" s="141">
        <f t="shared" si="0"/>
        <v>1.3050000000000002</v>
      </c>
      <c r="D30" s="6" t="s">
        <v>336</v>
      </c>
      <c r="E30" s="62">
        <v>1.8</v>
      </c>
      <c r="F30" s="6">
        <v>3.54</v>
      </c>
      <c r="G30" s="6">
        <v>17.5</v>
      </c>
      <c r="I30" s="6" t="s">
        <v>378</v>
      </c>
      <c r="K30" s="6" t="s">
        <v>378</v>
      </c>
      <c r="O30" s="9"/>
      <c r="P30" s="9"/>
      <c r="Q30" s="9"/>
      <c r="R30" s="9"/>
      <c r="S30" s="9"/>
      <c r="T30" s="9"/>
      <c r="U30" s="9"/>
      <c r="V30" s="9"/>
      <c r="W30" s="9"/>
      <c r="X30" s="9"/>
      <c r="Y30" s="9"/>
      <c r="Z30" s="9"/>
      <c r="AA30" s="9"/>
      <c r="AB30" s="9"/>
    </row>
    <row r="31" spans="1:28">
      <c r="A31" s="140">
        <v>1.33</v>
      </c>
      <c r="B31" s="140">
        <v>1.38</v>
      </c>
      <c r="C31" s="141">
        <f t="shared" si="0"/>
        <v>1.355</v>
      </c>
      <c r="D31" s="6" t="s">
        <v>337</v>
      </c>
      <c r="E31" s="62">
        <v>2.2000000000000002</v>
      </c>
      <c r="F31" s="6">
        <v>4.22</v>
      </c>
      <c r="G31" s="6">
        <v>17.399999999999999</v>
      </c>
      <c r="I31" s="6" t="s">
        <v>379</v>
      </c>
      <c r="K31" s="6" t="s">
        <v>379</v>
      </c>
      <c r="O31" s="9"/>
      <c r="P31" s="9"/>
      <c r="Q31" s="9"/>
      <c r="R31" s="9"/>
      <c r="S31" s="9"/>
      <c r="T31" s="9"/>
      <c r="U31" s="9"/>
      <c r="V31" s="9"/>
      <c r="W31" s="9"/>
      <c r="X31" s="9"/>
      <c r="Y31" s="9"/>
      <c r="Z31" s="9"/>
      <c r="AA31" s="9"/>
      <c r="AB31" s="9"/>
    </row>
    <row r="32" spans="1:28">
      <c r="A32" s="140">
        <v>1.38</v>
      </c>
      <c r="B32" s="141">
        <v>1.43</v>
      </c>
      <c r="C32" s="141">
        <f t="shared" si="0"/>
        <v>1.4049999999999998</v>
      </c>
      <c r="D32" s="6" t="s">
        <v>338</v>
      </c>
      <c r="E32" s="62">
        <v>2.2999999999999998</v>
      </c>
      <c r="F32" s="6">
        <v>4.3899999999999997</v>
      </c>
      <c r="G32" s="6">
        <v>17.3</v>
      </c>
      <c r="I32" s="6" t="s">
        <v>380</v>
      </c>
      <c r="K32" s="6" t="s">
        <v>380</v>
      </c>
      <c r="O32" s="9"/>
      <c r="P32" s="9"/>
      <c r="Q32" s="9"/>
      <c r="R32" s="9"/>
      <c r="S32" s="9"/>
      <c r="T32" s="9"/>
      <c r="U32" s="9"/>
      <c r="V32" s="9"/>
      <c r="W32" s="9"/>
      <c r="X32" s="9"/>
      <c r="Y32" s="9"/>
      <c r="Z32" s="9"/>
      <c r="AA32" s="9"/>
      <c r="AB32" s="9"/>
    </row>
    <row r="33" spans="1:28">
      <c r="A33" s="140">
        <v>1.43</v>
      </c>
      <c r="B33" s="140">
        <v>1.48</v>
      </c>
      <c r="C33" s="141">
        <f t="shared" si="0"/>
        <v>1.4550000000000001</v>
      </c>
      <c r="D33" s="6" t="s">
        <v>339</v>
      </c>
      <c r="E33" s="62">
        <v>2.1</v>
      </c>
      <c r="F33" s="6">
        <v>4.0599999999999996</v>
      </c>
      <c r="G33" s="6">
        <v>17.5</v>
      </c>
      <c r="I33" s="6" t="s">
        <v>381</v>
      </c>
      <c r="K33" s="6" t="s">
        <v>381</v>
      </c>
      <c r="O33" s="9"/>
      <c r="P33" s="9"/>
      <c r="Q33" s="9"/>
      <c r="R33" s="9"/>
      <c r="S33" s="9"/>
      <c r="T33" s="9"/>
      <c r="U33" s="9"/>
      <c r="V33" s="9"/>
      <c r="W33" s="9"/>
      <c r="X33" s="9"/>
      <c r="Y33" s="9"/>
      <c r="Z33" s="9"/>
      <c r="AA33" s="9"/>
      <c r="AB33" s="9"/>
    </row>
    <row r="34" spans="1:28">
      <c r="A34" s="140">
        <v>1.48</v>
      </c>
      <c r="B34" s="141">
        <v>1.53</v>
      </c>
      <c r="C34" s="141">
        <f t="shared" si="0"/>
        <v>1.5049999999999999</v>
      </c>
      <c r="D34" s="6" t="s">
        <v>340</v>
      </c>
      <c r="E34" s="62">
        <v>2.6</v>
      </c>
      <c r="F34" s="6">
        <v>4.84</v>
      </c>
      <c r="G34" s="6">
        <v>17.5</v>
      </c>
      <c r="I34" s="6" t="s">
        <v>382</v>
      </c>
      <c r="K34" s="6" t="s">
        <v>382</v>
      </c>
      <c r="O34" s="9"/>
      <c r="P34" s="9"/>
      <c r="Q34" s="9"/>
      <c r="R34" s="9"/>
      <c r="S34" s="9"/>
      <c r="T34" s="9"/>
      <c r="U34" s="9"/>
      <c r="V34" s="9"/>
      <c r="W34" s="9"/>
      <c r="X34" s="9"/>
      <c r="Y34" s="9"/>
      <c r="Z34" s="9"/>
      <c r="AA34" s="9"/>
      <c r="AB34" s="9"/>
    </row>
    <row r="35" spans="1:28">
      <c r="A35" s="140">
        <v>1.53</v>
      </c>
      <c r="B35" s="140">
        <v>1.58</v>
      </c>
      <c r="C35" s="141">
        <f t="shared" si="0"/>
        <v>1.5550000000000002</v>
      </c>
      <c r="D35" s="6" t="s">
        <v>341</v>
      </c>
      <c r="E35" s="62">
        <v>1.9</v>
      </c>
      <c r="F35" s="6">
        <v>3.7</v>
      </c>
      <c r="G35" s="6">
        <v>19.100000000000001</v>
      </c>
      <c r="I35" s="6" t="s">
        <v>383</v>
      </c>
      <c r="K35" s="6" t="s">
        <v>383</v>
      </c>
      <c r="O35" s="9"/>
      <c r="P35" s="9"/>
      <c r="Q35" s="9"/>
      <c r="R35" s="9"/>
      <c r="S35" s="9"/>
      <c r="T35" s="9"/>
      <c r="U35" s="9"/>
      <c r="V35" s="9"/>
      <c r="W35" s="9"/>
      <c r="X35" s="9"/>
      <c r="Y35" s="9"/>
      <c r="Z35" s="9"/>
      <c r="AA35" s="9"/>
      <c r="AB35" s="9"/>
    </row>
    <row r="36" spans="1:28">
      <c r="A36" s="140"/>
      <c r="B36" s="141"/>
      <c r="C36" s="141"/>
      <c r="E36" s="62"/>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I19" sqref="I19"/>
    </sheetView>
  </sheetViews>
  <sheetFormatPr defaultColWidth="8.875" defaultRowHeight="11.4"/>
  <cols>
    <col min="1" max="1" width="19.375" customWidth="1"/>
    <col min="2" max="5" width="13.75" customWidth="1"/>
  </cols>
  <sheetData>
    <row r="1" spans="1:26" ht="12">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4" t="s">
        <v>95</v>
      </c>
      <c r="D2" s="154"/>
      <c r="E2" s="154"/>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5" t="s">
        <v>1</v>
      </c>
      <c r="D3" s="155"/>
      <c r="E3" s="155"/>
      <c r="F3" s="67"/>
      <c r="G3" s="67"/>
      <c r="H3" s="67"/>
      <c r="I3" s="67"/>
      <c r="J3" s="67"/>
      <c r="K3" s="67"/>
      <c r="L3" s="67"/>
      <c r="M3" s="67"/>
      <c r="N3" s="67"/>
      <c r="O3" s="67"/>
      <c r="P3" s="67"/>
      <c r="Q3" s="67"/>
      <c r="R3" s="67"/>
      <c r="S3" s="67"/>
      <c r="T3" s="67"/>
      <c r="U3" s="67"/>
      <c r="V3" s="67"/>
      <c r="W3" s="67"/>
      <c r="X3" s="67"/>
      <c r="Y3" s="67"/>
      <c r="Z3" s="67"/>
    </row>
    <row r="4" spans="1:26" ht="15.6">
      <c r="A4" s="69"/>
      <c r="B4" s="69"/>
      <c r="C4" s="153"/>
      <c r="D4" s="153"/>
      <c r="E4" s="153"/>
      <c r="F4" s="22"/>
      <c r="G4" s="22"/>
      <c r="H4" s="22"/>
      <c r="I4" s="22"/>
      <c r="J4" s="22"/>
      <c r="K4" s="22"/>
      <c r="L4" s="22"/>
      <c r="M4" s="22"/>
      <c r="N4" s="22"/>
      <c r="O4" s="22"/>
      <c r="P4" s="22"/>
      <c r="Q4" s="22"/>
      <c r="R4" s="22"/>
      <c r="S4" s="22"/>
      <c r="T4" s="22"/>
      <c r="U4" s="22"/>
      <c r="V4" s="22"/>
      <c r="W4" s="22"/>
      <c r="X4" s="22"/>
      <c r="Y4" s="22"/>
      <c r="Z4" s="22"/>
    </row>
    <row r="5" spans="1:26" ht="15.6">
      <c r="A5" s="69"/>
      <c r="B5" s="69"/>
      <c r="C5" s="153"/>
      <c r="D5" s="153"/>
      <c r="E5" s="153"/>
      <c r="F5" s="22"/>
      <c r="G5" s="22"/>
      <c r="H5" s="22"/>
      <c r="I5" s="22"/>
      <c r="J5" s="22"/>
      <c r="K5" s="22"/>
      <c r="L5" s="22"/>
      <c r="M5" s="22"/>
      <c r="N5" s="22"/>
      <c r="O5" s="22"/>
      <c r="P5" s="22"/>
      <c r="Q5" s="22"/>
      <c r="R5" s="22"/>
      <c r="S5" s="22"/>
      <c r="T5" s="22"/>
      <c r="U5" s="22"/>
      <c r="V5" s="22"/>
      <c r="W5" s="22"/>
      <c r="X5" s="22"/>
      <c r="Y5" s="22"/>
      <c r="Z5" s="22"/>
    </row>
    <row r="6" spans="1:26" ht="15.6">
      <c r="A6" s="69"/>
      <c r="B6" s="69"/>
      <c r="C6" s="153"/>
      <c r="D6" s="153"/>
      <c r="E6" s="153"/>
      <c r="F6" s="22"/>
      <c r="G6" s="22"/>
      <c r="H6" s="22"/>
      <c r="I6" s="22"/>
      <c r="J6" s="22"/>
      <c r="K6" s="22"/>
      <c r="L6" s="22"/>
      <c r="M6" s="22"/>
      <c r="N6" s="22"/>
      <c r="O6" s="22"/>
      <c r="P6" s="22"/>
      <c r="Q6" s="22"/>
      <c r="R6" s="22"/>
      <c r="S6" s="22"/>
      <c r="T6" s="22"/>
      <c r="U6" s="22"/>
      <c r="V6" s="22"/>
      <c r="W6" s="22"/>
      <c r="X6" s="22"/>
      <c r="Y6" s="22"/>
      <c r="Z6" s="22"/>
    </row>
    <row r="7" spans="1:26" ht="15.6">
      <c r="A7" s="69"/>
      <c r="B7" s="69"/>
      <c r="C7" s="153"/>
      <c r="D7" s="153"/>
      <c r="E7" s="153"/>
      <c r="F7" s="22"/>
      <c r="G7" s="22"/>
      <c r="H7" s="22"/>
      <c r="I7" s="22"/>
      <c r="J7" s="22"/>
      <c r="K7" s="22"/>
      <c r="L7" s="22"/>
      <c r="M7" s="22"/>
      <c r="N7" s="22"/>
      <c r="O7" s="22"/>
      <c r="P7" s="22"/>
      <c r="Q7" s="22"/>
      <c r="R7" s="22"/>
      <c r="S7" s="22"/>
      <c r="T7" s="22"/>
      <c r="U7" s="22"/>
      <c r="V7" s="22"/>
      <c r="W7" s="22"/>
      <c r="X7" s="22"/>
      <c r="Y7" s="22"/>
      <c r="Z7" s="22"/>
    </row>
    <row r="8" spans="1:26" ht="15.6">
      <c r="A8" s="69"/>
      <c r="B8" s="69"/>
      <c r="C8" s="153"/>
      <c r="D8" s="153"/>
      <c r="E8" s="153"/>
      <c r="F8" s="22"/>
      <c r="G8" s="22"/>
      <c r="H8" s="22"/>
      <c r="I8" s="22"/>
      <c r="J8" s="22"/>
      <c r="K8" s="22"/>
      <c r="L8" s="22"/>
      <c r="M8" s="22"/>
      <c r="N8" s="22"/>
      <c r="O8" s="22"/>
      <c r="P8" s="22"/>
      <c r="Q8" s="22"/>
      <c r="R8" s="22"/>
      <c r="S8" s="22"/>
      <c r="T8" s="22"/>
      <c r="U8" s="22"/>
      <c r="V8" s="22"/>
      <c r="W8" s="22"/>
      <c r="X8" s="22"/>
      <c r="Y8" s="22"/>
      <c r="Z8" s="22"/>
    </row>
    <row r="9" spans="1:26" ht="15.6">
      <c r="A9" s="69"/>
      <c r="B9" s="69"/>
      <c r="C9" s="153"/>
      <c r="D9" s="153"/>
      <c r="E9" s="153"/>
      <c r="F9" s="22"/>
      <c r="G9" s="22"/>
      <c r="H9" s="22"/>
      <c r="I9" s="22"/>
      <c r="J9" s="22"/>
      <c r="K9" s="22"/>
      <c r="L9" s="22"/>
      <c r="M9" s="22"/>
      <c r="N9" s="22"/>
      <c r="O9" s="22"/>
      <c r="P9" s="22"/>
      <c r="Q9" s="22"/>
      <c r="R9" s="22"/>
      <c r="S9" s="22"/>
      <c r="T9" s="22"/>
      <c r="U9" s="22"/>
      <c r="V9" s="22"/>
      <c r="W9" s="22"/>
      <c r="X9" s="22"/>
      <c r="Y9" s="22"/>
      <c r="Z9" s="22"/>
    </row>
    <row r="10" spans="1:26" ht="15.6">
      <c r="A10" s="69"/>
      <c r="B10" s="69"/>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6">
      <c r="A11" s="69"/>
      <c r="B11" s="69"/>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6">
      <c r="A12" s="69"/>
      <c r="B12" s="69"/>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6">
      <c r="A13" s="69"/>
      <c r="B13" s="69"/>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6">
      <c r="A14" s="69"/>
      <c r="B14" s="69"/>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ht="15.6">
      <c r="A15" s="69"/>
      <c r="B15" s="69"/>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6">
      <c r="A16" s="69"/>
      <c r="B16" s="69"/>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6">
      <c r="A17" s="69"/>
      <c r="B17" s="69"/>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6">
      <c r="A18" s="69"/>
      <c r="B18" s="69"/>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6">
      <c r="A19" s="69"/>
      <c r="B19" s="69"/>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6">
      <c r="A20" s="69"/>
      <c r="B20" s="69"/>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6">
      <c r="A21" s="69"/>
      <c r="B21" s="69"/>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6">
      <c r="A22" s="69"/>
      <c r="B22" s="69"/>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6">
      <c r="A23" s="69"/>
      <c r="B23" s="69"/>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6">
      <c r="A24" s="69"/>
      <c r="B24" s="69"/>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6">
      <c r="A25" s="69"/>
      <c r="B25" s="69"/>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6">
      <c r="A26" s="69"/>
      <c r="B26" s="69"/>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6">
      <c r="A27" s="69"/>
      <c r="B27" s="69"/>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6">
      <c r="A28" s="69"/>
      <c r="B28" s="69"/>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6">
      <c r="A29" s="69"/>
      <c r="B29" s="69"/>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6">
      <c r="A30" s="69"/>
      <c r="B30" s="69"/>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6">
      <c r="A31" s="69"/>
      <c r="B31" s="69"/>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6">
      <c r="A32" s="69"/>
      <c r="B32" s="69"/>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6">
      <c r="A33" s="69"/>
      <c r="B33" s="69"/>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6">
      <c r="A34" s="69"/>
      <c r="B34" s="69"/>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6">
      <c r="A35" s="69"/>
      <c r="B35" s="69"/>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6">
      <c r="A36" s="69"/>
      <c r="B36" s="69"/>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6">
      <c r="A37" s="69"/>
      <c r="B37" s="69"/>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6">
      <c r="A38" s="69"/>
      <c r="B38" s="69"/>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6">
      <c r="A39" s="69"/>
      <c r="B39" s="69"/>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D6" sqref="D6:E6"/>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8" t="s">
        <v>106</v>
      </c>
      <c r="E3" s="158"/>
      <c r="F3" s="71" t="s">
        <v>1</v>
      </c>
      <c r="G3" s="2"/>
      <c r="H3" s="2"/>
      <c r="I3" s="2"/>
      <c r="J3" s="2"/>
      <c r="K3" s="2"/>
      <c r="L3" s="2"/>
      <c r="M3" s="2"/>
      <c r="N3" s="2"/>
      <c r="O3" s="2"/>
      <c r="P3" s="2"/>
      <c r="Q3" s="2"/>
      <c r="R3" s="2"/>
      <c r="S3" s="2"/>
      <c r="T3" s="2"/>
      <c r="U3" s="2"/>
      <c r="V3" s="2"/>
      <c r="W3" s="2"/>
      <c r="X3" s="2"/>
      <c r="Y3" s="2"/>
      <c r="Z3" s="2"/>
    </row>
    <row r="4" spans="1:26">
      <c r="A4" s="62">
        <v>0</v>
      </c>
      <c r="B4" s="62">
        <v>0.95</v>
      </c>
      <c r="D4" s="156"/>
      <c r="E4" s="156"/>
      <c r="F4" s="6" t="s">
        <v>327</v>
      </c>
      <c r="G4" s="9"/>
      <c r="H4" s="9"/>
      <c r="I4" s="9"/>
      <c r="J4" s="9"/>
      <c r="K4" s="9"/>
      <c r="L4" s="9"/>
      <c r="M4" s="9"/>
      <c r="N4" s="9"/>
      <c r="O4" s="9"/>
      <c r="P4" s="9"/>
      <c r="Q4" s="9"/>
      <c r="R4" s="9"/>
      <c r="S4" s="9"/>
      <c r="T4" s="9"/>
      <c r="U4" s="9"/>
      <c r="V4" s="9"/>
      <c r="W4" s="9"/>
      <c r="X4" s="9"/>
      <c r="Y4" s="9"/>
      <c r="Z4" s="9"/>
    </row>
    <row r="5" spans="1:26">
      <c r="A5" s="6">
        <v>0.95</v>
      </c>
      <c r="B5" s="6">
        <f>A5+0.63</f>
        <v>1.58</v>
      </c>
      <c r="D5" s="156"/>
      <c r="E5" s="156"/>
      <c r="F5" s="6" t="s">
        <v>328</v>
      </c>
      <c r="G5" s="9"/>
      <c r="H5" s="9"/>
      <c r="I5" s="9"/>
      <c r="J5" s="9"/>
      <c r="K5" s="9"/>
      <c r="L5" s="9"/>
      <c r="M5" s="9"/>
      <c r="N5" s="9"/>
      <c r="O5" s="9"/>
      <c r="P5" s="9"/>
      <c r="Q5" s="9"/>
      <c r="R5" s="9"/>
      <c r="S5" s="9"/>
      <c r="T5" s="9"/>
      <c r="U5" s="9"/>
      <c r="V5" s="9"/>
      <c r="W5" s="9"/>
      <c r="X5" s="9"/>
      <c r="Y5" s="9"/>
      <c r="Z5" s="9"/>
    </row>
    <row r="6" spans="1:26">
      <c r="C6" s="6">
        <v>0.37</v>
      </c>
      <c r="D6" s="156" t="s">
        <v>181</v>
      </c>
      <c r="E6" s="156"/>
      <c r="G6" s="9"/>
      <c r="H6" s="9"/>
      <c r="I6" s="9"/>
      <c r="J6" s="9"/>
      <c r="K6" s="9"/>
      <c r="L6" s="9"/>
      <c r="M6" s="9"/>
      <c r="N6" s="9"/>
      <c r="O6" s="9"/>
      <c r="P6" s="9"/>
      <c r="Q6" s="9"/>
      <c r="R6" s="9"/>
      <c r="S6" s="9"/>
      <c r="T6" s="9"/>
      <c r="U6" s="9"/>
      <c r="V6" s="9"/>
      <c r="W6" s="9"/>
      <c r="X6" s="9"/>
      <c r="Y6" s="9"/>
      <c r="Z6" s="9"/>
    </row>
    <row r="7" spans="1:26">
      <c r="C7"/>
      <c r="D7" s="156"/>
      <c r="E7" s="156"/>
      <c r="F7"/>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F8" sqref="F8"/>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c r="B4" s="140"/>
      <c r="C4" s="141"/>
      <c r="D4" s="62"/>
      <c r="I4" s="9"/>
      <c r="J4" s="9"/>
      <c r="K4" s="9"/>
      <c r="L4" s="9"/>
      <c r="M4" s="9"/>
      <c r="N4" s="9"/>
      <c r="O4" s="9"/>
      <c r="P4" s="9"/>
      <c r="Q4" s="9"/>
      <c r="R4" s="9"/>
      <c r="S4" s="9"/>
      <c r="T4" s="9"/>
      <c r="U4" s="9"/>
      <c r="V4" s="9"/>
    </row>
    <row r="5" spans="1:1024">
      <c r="A5" s="140"/>
      <c r="B5" s="140"/>
      <c r="C5" s="141"/>
      <c r="D5" s="62"/>
      <c r="I5" s="9"/>
      <c r="J5" s="9"/>
      <c r="K5" s="9"/>
      <c r="L5" s="9"/>
      <c r="M5" s="9"/>
      <c r="N5" s="9"/>
      <c r="O5" s="9"/>
      <c r="P5" s="9"/>
      <c r="Q5" s="9"/>
      <c r="R5" s="9"/>
      <c r="S5" s="9"/>
      <c r="T5" s="9"/>
      <c r="U5" s="9"/>
      <c r="V5" s="9"/>
    </row>
    <row r="6" spans="1:1024">
      <c r="A6" s="140"/>
      <c r="B6" s="140"/>
      <c r="C6" s="141"/>
      <c r="D6" s="62"/>
      <c r="I6" s="9"/>
      <c r="J6" s="9"/>
      <c r="K6" s="9"/>
      <c r="L6" s="9"/>
      <c r="M6" s="9"/>
      <c r="N6" s="9"/>
      <c r="O6" s="9"/>
      <c r="P6" s="9"/>
      <c r="Q6" s="9"/>
      <c r="R6" s="9"/>
      <c r="S6" s="9"/>
      <c r="T6" s="9"/>
      <c r="U6" s="9"/>
      <c r="V6" s="9"/>
    </row>
    <row r="7" spans="1:1024">
      <c r="A7" s="140"/>
      <c r="B7" s="140"/>
      <c r="C7" s="141"/>
      <c r="D7" s="62"/>
      <c r="I7" s="9"/>
      <c r="J7" s="9"/>
      <c r="K7" s="9"/>
      <c r="L7" s="9"/>
      <c r="M7" s="9"/>
      <c r="N7" s="9"/>
      <c r="O7" s="9"/>
      <c r="P7" s="9"/>
      <c r="Q7" s="9"/>
      <c r="R7" s="9"/>
      <c r="S7" s="9"/>
      <c r="T7" s="9"/>
      <c r="U7" s="9"/>
      <c r="V7" s="9"/>
    </row>
    <row r="8" spans="1:1024">
      <c r="A8" s="140"/>
      <c r="B8" s="140"/>
      <c r="C8" s="141"/>
      <c r="D8" s="62"/>
      <c r="I8" s="9"/>
      <c r="J8" s="9"/>
      <c r="K8" s="9"/>
      <c r="L8" s="9"/>
      <c r="M8" s="9"/>
      <c r="N8" s="9"/>
      <c r="O8" s="9"/>
      <c r="P8" s="9"/>
      <c r="Q8" s="9"/>
      <c r="R8" s="9"/>
      <c r="S8" s="9"/>
      <c r="T8" s="9"/>
      <c r="U8" s="9"/>
      <c r="V8" s="9"/>
    </row>
    <row r="9" spans="1:1024">
      <c r="A9" s="140"/>
      <c r="B9" s="140"/>
      <c r="C9" s="141"/>
      <c r="D9" s="62"/>
      <c r="I9" s="9"/>
      <c r="J9" s="9"/>
      <c r="K9" s="9"/>
      <c r="L9" s="9"/>
      <c r="M9" s="9"/>
      <c r="N9" s="9"/>
      <c r="O9" s="9"/>
      <c r="P9" s="9"/>
      <c r="Q9" s="9"/>
      <c r="R9" s="9"/>
      <c r="S9" s="9"/>
      <c r="T9" s="9"/>
      <c r="U9" s="9"/>
      <c r="V9" s="9"/>
    </row>
    <row r="10" spans="1:1024">
      <c r="A10" s="140"/>
      <c r="B10" s="140"/>
      <c r="C10" s="141"/>
      <c r="D10" s="62"/>
      <c r="I10" s="9"/>
      <c r="J10" s="9"/>
      <c r="K10" s="9"/>
      <c r="L10" s="9"/>
      <c r="M10" s="9"/>
      <c r="N10" s="9"/>
      <c r="O10" s="9"/>
      <c r="P10" s="9"/>
      <c r="Q10" s="9"/>
      <c r="R10" s="9"/>
      <c r="S10" s="9"/>
      <c r="T10" s="9"/>
      <c r="U10" s="9"/>
      <c r="V10" s="9"/>
    </row>
    <row r="11" spans="1:1024">
      <c r="A11" s="140"/>
      <c r="B11" s="140"/>
      <c r="C11" s="141"/>
      <c r="D11" s="62"/>
      <c r="I11" s="9"/>
      <c r="J11" s="9"/>
      <c r="K11" s="9"/>
      <c r="L11" s="9"/>
      <c r="M11" s="9"/>
      <c r="N11" s="9"/>
      <c r="O11" s="9"/>
      <c r="P11" s="9"/>
      <c r="Q11" s="9"/>
      <c r="R11" s="9"/>
      <c r="S11" s="9"/>
      <c r="T11" s="9"/>
      <c r="U11" s="9"/>
      <c r="V11" s="9"/>
    </row>
    <row r="12" spans="1:1024">
      <c r="A12" s="140"/>
      <c r="B12" s="140"/>
      <c r="C12" s="141"/>
      <c r="D12" s="62"/>
      <c r="I12" s="9"/>
      <c r="J12" s="9"/>
      <c r="K12" s="9"/>
      <c r="L12" s="9"/>
      <c r="M12" s="9"/>
      <c r="N12" s="9"/>
      <c r="O12" s="9"/>
      <c r="P12" s="9"/>
      <c r="Q12" s="9"/>
      <c r="R12" s="9"/>
      <c r="S12" s="9"/>
      <c r="T12" s="9"/>
      <c r="U12" s="9"/>
      <c r="V12" s="9"/>
    </row>
    <row r="13" spans="1:1024">
      <c r="A13" s="140"/>
      <c r="B13" s="140"/>
      <c r="C13" s="141"/>
      <c r="D13" s="62"/>
      <c r="I13" s="9"/>
      <c r="J13" s="9"/>
      <c r="K13" s="9"/>
      <c r="L13" s="9"/>
      <c r="M13" s="9"/>
      <c r="N13" s="9"/>
      <c r="O13" s="9"/>
      <c r="P13" s="9"/>
      <c r="Q13" s="9"/>
      <c r="R13" s="9"/>
      <c r="S13" s="9"/>
      <c r="T13" s="9"/>
      <c r="U13" s="9"/>
      <c r="V13" s="9"/>
    </row>
    <row r="14" spans="1:1024">
      <c r="A14" s="140"/>
      <c r="B14" s="140"/>
      <c r="C14" s="141"/>
      <c r="D14" s="62"/>
      <c r="I14" s="9"/>
      <c r="J14" s="9"/>
      <c r="K14" s="9"/>
      <c r="L14" s="9"/>
      <c r="M14" s="9"/>
      <c r="N14" s="9"/>
      <c r="O14" s="9"/>
      <c r="P14" s="9"/>
      <c r="Q14" s="9"/>
      <c r="R14" s="9"/>
      <c r="S14" s="9"/>
      <c r="T14" s="9"/>
      <c r="U14" s="9"/>
      <c r="V14" s="9"/>
    </row>
    <row r="15" spans="1:1024">
      <c r="A15" s="140"/>
      <c r="B15" s="140"/>
      <c r="C15" s="141"/>
      <c r="D15" s="62"/>
      <c r="I15" s="9"/>
      <c r="J15" s="9"/>
      <c r="K15" s="9"/>
      <c r="L15" s="9"/>
      <c r="M15" s="9"/>
      <c r="N15" s="9"/>
      <c r="O15" s="9"/>
      <c r="P15" s="9"/>
      <c r="Q15" s="9"/>
      <c r="R15" s="9"/>
      <c r="S15" s="9"/>
      <c r="T15" s="9"/>
      <c r="U15" s="9"/>
      <c r="V15" s="9"/>
    </row>
    <row r="16" spans="1:1024">
      <c r="A16" s="140"/>
      <c r="B16" s="140"/>
      <c r="C16" s="141"/>
      <c r="D16" s="62"/>
      <c r="I16" s="9"/>
      <c r="J16" s="9"/>
      <c r="K16" s="9"/>
      <c r="L16" s="9"/>
      <c r="M16" s="9"/>
      <c r="N16" s="9"/>
      <c r="O16" s="9"/>
      <c r="P16" s="9"/>
      <c r="Q16" s="9"/>
      <c r="R16" s="9"/>
      <c r="S16" s="9"/>
      <c r="T16" s="9"/>
      <c r="U16" s="9"/>
      <c r="V16" s="9"/>
    </row>
    <row r="17" spans="1:22">
      <c r="A17" s="140"/>
      <c r="B17" s="140"/>
      <c r="C17" s="141"/>
      <c r="D17" s="62"/>
      <c r="I17" s="9"/>
      <c r="J17" s="9"/>
      <c r="K17" s="9"/>
      <c r="L17" s="9"/>
      <c r="M17" s="9"/>
      <c r="N17" s="9"/>
      <c r="O17" s="9"/>
      <c r="P17" s="9"/>
      <c r="Q17" s="9"/>
      <c r="R17" s="9"/>
      <c r="S17" s="9"/>
      <c r="T17" s="9"/>
      <c r="U17" s="9"/>
      <c r="V17" s="9"/>
    </row>
    <row r="18" spans="1:22">
      <c r="A18" s="140"/>
      <c r="B18" s="140"/>
      <c r="C18" s="141"/>
      <c r="D18" s="62"/>
      <c r="I18" s="9"/>
      <c r="J18" s="9"/>
      <c r="K18" s="9"/>
      <c r="L18" s="9"/>
      <c r="M18" s="9"/>
      <c r="N18" s="9"/>
      <c r="O18" s="9"/>
      <c r="P18" s="9"/>
      <c r="Q18" s="9"/>
      <c r="R18" s="9"/>
      <c r="S18" s="9"/>
      <c r="T18" s="9"/>
      <c r="U18" s="9"/>
      <c r="V18" s="9"/>
    </row>
    <row r="19" spans="1:22">
      <c r="A19" s="140"/>
      <c r="B19" s="140"/>
      <c r="C19" s="141"/>
      <c r="D19" s="62"/>
      <c r="I19" s="9"/>
      <c r="J19" s="9"/>
      <c r="K19" s="9"/>
      <c r="L19" s="9"/>
      <c r="M19" s="9"/>
      <c r="N19" s="9"/>
      <c r="O19" s="9"/>
      <c r="P19" s="9"/>
      <c r="Q19" s="9"/>
      <c r="R19" s="9"/>
      <c r="S19" s="9"/>
      <c r="T19" s="9"/>
      <c r="U19" s="9"/>
      <c r="V19" s="9"/>
    </row>
    <row r="20" spans="1:22">
      <c r="A20" s="140"/>
      <c r="B20" s="141"/>
      <c r="C20" s="141"/>
      <c r="D20" s="62"/>
      <c r="I20" s="9"/>
      <c r="J20" s="9"/>
      <c r="K20" s="9"/>
      <c r="L20" s="9"/>
      <c r="M20" s="9"/>
      <c r="N20" s="9"/>
      <c r="O20" s="9"/>
      <c r="P20" s="9"/>
      <c r="Q20" s="9"/>
      <c r="R20" s="9"/>
      <c r="S20" s="9"/>
      <c r="T20" s="9"/>
      <c r="U20" s="9"/>
      <c r="V20" s="9"/>
    </row>
    <row r="21" spans="1:22">
      <c r="A21" s="140"/>
      <c r="B21" s="141"/>
      <c r="C21" s="141"/>
      <c r="D21" s="62"/>
      <c r="I21" s="9"/>
      <c r="J21" s="9"/>
      <c r="K21" s="9"/>
      <c r="L21" s="9"/>
      <c r="M21" s="9"/>
      <c r="N21" s="9"/>
      <c r="O21" s="9"/>
      <c r="P21" s="9"/>
      <c r="Q21" s="9"/>
      <c r="R21" s="9"/>
      <c r="S21" s="9"/>
      <c r="T21" s="9"/>
      <c r="U21" s="9"/>
      <c r="V21" s="9"/>
    </row>
    <row r="22" spans="1:22">
      <c r="A22" s="140"/>
      <c r="B22" s="141"/>
      <c r="C22" s="141"/>
      <c r="D22" s="62"/>
      <c r="I22" s="9"/>
      <c r="J22" s="9"/>
      <c r="K22" s="9"/>
      <c r="L22" s="9"/>
      <c r="M22" s="9"/>
      <c r="N22" s="9"/>
      <c r="O22" s="9"/>
      <c r="P22" s="9"/>
      <c r="Q22" s="9"/>
      <c r="R22" s="9"/>
      <c r="S22" s="9"/>
      <c r="T22" s="9"/>
      <c r="U22" s="9"/>
      <c r="V22" s="9"/>
    </row>
    <row r="23" spans="1:22">
      <c r="A23" s="140"/>
      <c r="B23" s="140"/>
      <c r="C23" s="141"/>
      <c r="D23" s="62"/>
      <c r="I23" s="9"/>
      <c r="J23" s="9"/>
      <c r="K23" s="9"/>
      <c r="L23" s="9"/>
      <c r="M23" s="9"/>
      <c r="N23" s="9"/>
      <c r="O23" s="9"/>
      <c r="P23" s="9"/>
      <c r="Q23" s="9"/>
      <c r="R23" s="9"/>
      <c r="S23" s="9"/>
      <c r="T23" s="9"/>
      <c r="U23" s="9"/>
      <c r="V23" s="9"/>
    </row>
    <row r="24" spans="1:22">
      <c r="A24" s="140"/>
      <c r="B24" s="141"/>
      <c r="C24" s="141"/>
      <c r="D24" s="62"/>
      <c r="I24" s="9"/>
      <c r="J24" s="9"/>
      <c r="K24" s="9"/>
      <c r="L24" s="9"/>
      <c r="M24" s="9"/>
      <c r="N24" s="9"/>
      <c r="O24" s="9"/>
      <c r="P24" s="9"/>
      <c r="Q24" s="9"/>
      <c r="R24" s="9"/>
      <c r="S24" s="9"/>
      <c r="T24" s="9"/>
      <c r="U24" s="9"/>
      <c r="V24" s="9"/>
    </row>
    <row r="25" spans="1:22">
      <c r="A25" s="140"/>
      <c r="B25" s="141"/>
      <c r="C25" s="141"/>
      <c r="D25" s="62"/>
      <c r="I25" s="9"/>
      <c r="J25" s="9"/>
      <c r="K25" s="9"/>
      <c r="L25" s="9"/>
      <c r="M25" s="9"/>
      <c r="N25" s="9"/>
      <c r="O25" s="9"/>
      <c r="P25" s="9"/>
      <c r="Q25" s="9"/>
      <c r="R25" s="9"/>
      <c r="S25" s="9"/>
      <c r="T25" s="9"/>
      <c r="U25" s="9"/>
      <c r="V25" s="9"/>
    </row>
    <row r="26" spans="1:22">
      <c r="A26" s="140"/>
      <c r="B26" s="141"/>
      <c r="C26" s="141"/>
      <c r="D26" s="62"/>
      <c r="I26" s="9"/>
      <c r="J26" s="9"/>
      <c r="K26" s="9"/>
      <c r="L26" s="9"/>
      <c r="M26" s="9"/>
      <c r="N26" s="9"/>
      <c r="O26" s="9"/>
      <c r="P26" s="9"/>
      <c r="Q26" s="9"/>
      <c r="R26" s="9"/>
      <c r="S26" s="9"/>
      <c r="T26" s="9"/>
      <c r="U26" s="9"/>
      <c r="V26" s="9"/>
    </row>
    <row r="27" spans="1:22">
      <c r="A27" s="140"/>
      <c r="B27" s="141"/>
      <c r="C27" s="141"/>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4"/>
      <c r="AH2" s="74"/>
      <c r="AI2" s="74"/>
      <c r="AJ2" s="73"/>
      <c r="AK2" s="73"/>
      <c r="AL2" s="73"/>
      <c r="AM2" s="73"/>
    </row>
    <row r="3" spans="1:39" ht="27.6">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ht="14.4">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4"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6"/>
    <col min="14" max="14" width="4.75" style="86" customWidth="1"/>
    <col min="15" max="16" width="13.25" style="86"/>
    <col min="17" max="17" width="4.75" style="86" customWidth="1"/>
    <col min="18" max="19" width="13.25" style="86"/>
    <col min="20" max="20" width="4.75" style="86" customWidth="1"/>
    <col min="21" max="23" width="13.25" style="86"/>
    <col min="24" max="24" width="4.75" style="86" customWidth="1"/>
    <col min="25" max="27" width="13.25" style="86"/>
    <col min="28" max="28" width="4.75" style="86" customWidth="1"/>
    <col min="29" max="30" width="13.25" style="86"/>
    <col min="31" max="31" width="4.75" style="86" customWidth="1"/>
    <col min="32" max="1023" width="13.25" style="86"/>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4.4">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ht="12">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6">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6">
      <c r="A44" s="69"/>
      <c r="D44" s="69"/>
      <c r="I44" s="92"/>
      <c r="J44" s="92"/>
      <c r="K44" s="92"/>
      <c r="L44" s="92"/>
      <c r="M44" s="92"/>
      <c r="N44" s="92"/>
      <c r="O44" s="92"/>
      <c r="P44" s="92"/>
      <c r="Q44" s="92"/>
      <c r="R44" s="92"/>
      <c r="S44" s="92"/>
      <c r="T44" s="92"/>
      <c r="U44" s="92"/>
      <c r="V44" s="92"/>
      <c r="W44" s="92"/>
      <c r="X44" s="92"/>
      <c r="Y44" s="92"/>
      <c r="Z44" s="92"/>
    </row>
    <row r="45" spans="1:26" ht="15.6">
      <c r="A45" s="69"/>
      <c r="D45" s="69"/>
      <c r="I45" s="92"/>
      <c r="J45" s="92"/>
      <c r="K45" s="92"/>
      <c r="L45" s="92"/>
      <c r="M45" s="92"/>
      <c r="N45" s="92"/>
      <c r="O45" s="92"/>
      <c r="P45" s="92"/>
      <c r="Q45" s="92"/>
      <c r="R45" s="92"/>
      <c r="S45" s="92"/>
      <c r="T45" s="92"/>
      <c r="U45" s="92"/>
      <c r="V45" s="92"/>
      <c r="W45" s="92"/>
      <c r="X45" s="92"/>
      <c r="Y45" s="92"/>
      <c r="Z45" s="92"/>
    </row>
    <row r="46" spans="1:26" ht="15.6">
      <c r="A46" s="69"/>
      <c r="D46" s="69"/>
      <c r="I46" s="92"/>
      <c r="J46" s="92"/>
      <c r="K46" s="92"/>
      <c r="L46" s="92"/>
      <c r="M46" s="92"/>
      <c r="N46" s="92"/>
      <c r="O46" s="92"/>
      <c r="P46" s="92"/>
      <c r="Q46" s="92"/>
      <c r="R46" s="92"/>
      <c r="S46" s="92"/>
      <c r="T46" s="92"/>
      <c r="U46" s="92"/>
      <c r="V46" s="92"/>
      <c r="W46" s="92"/>
      <c r="X46" s="92"/>
      <c r="Y46" s="92"/>
      <c r="Z46" s="92"/>
    </row>
    <row r="47" spans="1:26" ht="15.6">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6">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4"/>
    <col min="7" max="7" width="13.125" style="95"/>
    <col min="8" max="14" width="13.125" style="94"/>
    <col min="15" max="15" width="13.125" style="95"/>
    <col min="16" max="18" width="13.125" style="94"/>
    <col min="19" max="19" width="13.125" style="96"/>
    <col min="20" max="1023" width="13.1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7"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4.4">
      <c r="A14" s="138" t="s">
        <v>3</v>
      </c>
      <c r="B14" t="s">
        <v>271</v>
      </c>
      <c r="F14" t="s">
        <v>272</v>
      </c>
    </row>
    <row r="15" spans="1:13" ht="14.4">
      <c r="A15" s="138" t="s">
        <v>273</v>
      </c>
      <c r="B15" t="s">
        <v>274</v>
      </c>
      <c r="F15" t="s">
        <v>275</v>
      </c>
    </row>
    <row r="16" spans="1:13" ht="14.4">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2025-08-27T18:58:04Z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