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2c\12aug2025coring\"/>
    </mc:Choice>
  </mc:AlternateContent>
  <xr:revisionPtr revIDLastSave="0" documentId="13_ncr:1_{7F1CD360-08A2-4F76-99B6-FA039DBF148B}" xr6:coauthVersionLast="47" xr6:coauthVersionMax="47" xr10:uidLastSave="{00000000-0000-0000-0000-000000000000}"/>
  <bookViews>
    <workbookView xWindow="-108" yWindow="-108" windowWidth="23256" windowHeight="12456" tabRatio="726" activeTab="1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24" i="3" l="1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</calcChain>
</file>

<file path=xl/sharedStrings.xml><?xml version="1.0" encoding="utf-8"?>
<sst xmlns="http://schemas.openxmlformats.org/spreadsheetml/2006/main" count="714" uniqueCount="361">
  <si>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</si>
  <si>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</si>
  <si>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</si>
  <si>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</si>
  <si>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</si>
  <si>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</si>
  <si>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</si>
  <si>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</si>
  <si>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</si>
  <si>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</si>
  <si>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</si>
  <si>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</si>
  <si>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</si>
  <si>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</si>
  <si>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</si>
  <si>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</si>
  <si>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</si>
  <si>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</si>
  <si>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</si>
  <si>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</si>
  <si>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</si>
  <si>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</si>
  <si>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</si>
  <si>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</si>
  <si>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</si>
  <si>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</si>
  <si>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</si>
  <si>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</si>
  <si>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</si>
  <si>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</si>
  <si>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</si>
  <si>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</si>
  <si>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</si>
  <si>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</si>
  <si>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</si>
  <si>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</si>
  <si>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</si>
  <si>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</si>
  <si>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</si>
  <si>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</si>
  <si>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</si>
  <si>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</si>
  <si>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</si>
  <si>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</si>
  <si>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</si>
  <si>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</si>
  <si>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</si>
  <si>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</si>
  <si>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</si>
  <si>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</si>
  <si>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</si>
  <si>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</si>
  <si>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</si>
  <si>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</si>
  <si>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</si>
  <si>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</si>
  <si>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</si>
  <si>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</si>
  <si>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</si>
  <si>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</si>
  <si>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</si>
  <si>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</si>
  <si>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</si>
  <si>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</si>
  <si>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</si>
  <si>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</si>
  <si>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</si>
  <si>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</si>
  <si>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</si>
  <si>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</si>
  <si>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</si>
  <si>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</si>
  <si>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</si>
  <si>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</si>
  <si>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</si>
  <si>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</si>
  <si>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</si>
  <si>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</si>
  <si>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</si>
  <si>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</si>
  <si>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</si>
  <si>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</si>
  <si>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</si>
  <si>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</si>
  <si>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</si>
  <si>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</si>
  <si>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</si>
  <si>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</si>
  <si>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</si>
  <si>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</si>
  <si>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</si>
  <si>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</si>
  <si>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</si>
  <si>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</si>
  <si>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</si>
  <si>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</si>
  <si>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</si>
  <si>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</si>
  <si>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</si>
  <si>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</si>
  <si>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</si>
  <si>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</si>
  <si>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</si>
  <si>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</si>
  <si>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</si>
  <si>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</si>
  <si>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</si>
  <si>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</si>
  <si>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</si>
  <si>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</si>
  <si>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</si>
  <si>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</si>
  <si>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</si>
  <si>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</si>
  <si>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</si>
  <si>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</si>
  <si>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</si>
  <si>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</si>
  <si>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</si>
  <si>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</si>
  <si>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</si>
  <si>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</si>
  <si>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</si>
  <si>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</si>
  <si>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</si>
  <si>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</si>
  <si>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</si>
  <si>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</si>
  <si>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</si>
  <si>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</si>
  <si>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</si>
  <si>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</si>
  <si>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</si>
  <si>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</si>
  <si>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</si>
  <si>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</si>
  <si>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</si>
  <si>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</si>
  <si>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</si>
  <si>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</si>
  <si>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</si>
  <si>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</si>
  <si>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</si>
  <si>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</si>
  <si>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</si>
  <si>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</si>
  <si>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</si>
  <si>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</si>
  <si>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</si>
  <si>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</si>
  <si>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</si>
  <si>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</si>
  <si>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</si>
  <si>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</si>
  <si>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</si>
  <si>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</si>
  <si>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</si>
  <si>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</si>
  <si>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</si>
  <si>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</si>
  <si>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</si>
  <si>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</si>
  <si>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</si>
  <si>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</si>
  <si>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</si>
  <si>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</si>
  <si>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</si>
  <si>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</si>
  <si>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</si>
  <si>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</si>
  <si>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</si>
  <si>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</si>
  <si>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</si>
  <si>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</si>
  <si>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</si>
  <si>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</si>
  <si>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</si>
  <si>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</si>
  <si>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</si>
  <si>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</si>
  <si>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</si>
  <si>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</si>
  <si>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</si>
  <si>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</si>
  <si>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</si>
  <si>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</si>
  <si>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</si>
  <si>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</si>
  <si>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</si>
  <si>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</si>
  <si>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</si>
  <si>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</si>
  <si>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</si>
  <si>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</si>
  <si>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</si>
  <si>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</si>
  <si>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</si>
  <si>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</si>
  <si>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</si>
  <si>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</si>
  <si>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</si>
  <si>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</si>
  <si>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</si>
  <si>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</si>
  <si>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</si>
  <si>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</si>
  <si>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</si>
  <si>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</si>
  <si>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</si>
  <si>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</si>
  <si>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</si>
  <si>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</si>
  <si>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</si>
  <si>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</si>
  <si>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</si>
  <si>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</si>
  <si>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</si>
  <si>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</si>
  <si>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</si>
  <si>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</si>
  <si>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</si>
  <si>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</si>
  <si>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</si>
  <si>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</si>
  <si>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</si>
  <si>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</si>
  <si>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</si>
  <si>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</si>
  <si>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</si>
  <si>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</si>
  <si>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</si>
  <si>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</si>
  <si>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</si>
  <si>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</si>
  <si>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</si>
  <si>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</si>
  <si>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</si>
  <si>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</si>
  <si>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</si>
  <si>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</si>
  <si>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</si>
  <si>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</si>
  <si>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</si>
  <si>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</si>
  <si>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</si>
  <si>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</si>
  <si>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</si>
  <si>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</si>
  <si>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</si>
  <si>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</si>
  <si>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</si>
  <si>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</si>
  <si>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</si>
  <si>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</si>
  <si>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</si>
  <si>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</si>
  <si>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</si>
  <si>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</si>
  <si>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</si>
  <si>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</si>
  <si>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</si>
  <si>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</si>
  <si>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</si>
  <si>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</si>
  <si>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</si>
  <si>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</si>
  <si>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</si>
  <si>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</si>
  <si>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</si>
  <si>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</si>
  <si>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</si>
  <si>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</si>
  <si>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</si>
  <si>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</si>
  <si>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</si>
  <si>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</si>
  <si>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</si>
  <si>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</si>
  <si>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</si>
  <si>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</si>
  <si>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</si>
  <si>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</si>
  <si>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</si>
  <si>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</si>
  <si>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</si>
  <si>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</si>
  <si>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</si>
  <si>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</si>
  <si>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</si>
  <si>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</si>
  <si>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</si>
  <si>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</si>
  <si>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</si>
  <si>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</si>
  <si>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</si>
  <si>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</si>
  <si>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</si>
  <si>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Dmitry Divine</t>
  </si>
  <si>
    <t>9 cm Kovacs</t>
  </si>
  <si>
    <t>Emiliano Cimoli</t>
  </si>
  <si>
    <t xml:space="preserve">T-probe </t>
  </si>
  <si>
    <t>Testo (NPI)</t>
  </si>
  <si>
    <t>Lena Eggers</t>
  </si>
  <si>
    <t>all ECO and BGC cores</t>
  </si>
  <si>
    <t>section 1</t>
  </si>
  <si>
    <t>Coring site FYI part of the older floe</t>
  </si>
  <si>
    <t>some fresh snow on surface</t>
  </si>
  <si>
    <t xml:space="preserve">CONTRATS-PS_149 </t>
  </si>
  <si>
    <t>cut on site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</si>
  <si>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</si>
  <si>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</si>
  <si>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</si>
  <si>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</si>
  <si>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</si>
  <si>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</si>
  <si>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</si>
  <si>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</si>
  <si>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</si>
  <si>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</si>
  <si>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</si>
  <si>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</si>
  <si>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</si>
  <si>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</si>
  <si>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</si>
  <si>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</si>
  <si>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Z01</t>
  </si>
  <si>
    <t>Z02</t>
  </si>
  <si>
    <t>Z03</t>
  </si>
  <si>
    <t>conductivity probe 67953, S/N 11440477</t>
  </si>
  <si>
    <t>Odd</t>
  </si>
  <si>
    <t>PS149-2c</t>
  </si>
  <si>
    <t>Ice Station 2c (event 36-1), coring on the main coring site.  FYI acording to density and salinity results from Station 2a (event 16-1) analysis of results</t>
  </si>
  <si>
    <t>mark end 343</t>
  </si>
  <si>
    <t>mark start 342</t>
  </si>
  <si>
    <t>borehole (biased here? Since core bottom was only at -1</t>
  </si>
  <si>
    <t>David Clemens-Seewal</t>
  </si>
  <si>
    <t>20250812-PS149_36-1-SI_corer_9cm-016-FYI-SALO18</t>
  </si>
  <si>
    <t>with SSL</t>
  </si>
  <si>
    <t>20250812-PS149_36-1-SI_corer_9cm-017-FYI-T</t>
  </si>
  <si>
    <t>20250812-PS149_36-1-SI_corer_9cm-018-FYI-REP</t>
  </si>
  <si>
    <t>20250812-PS149_36-1-SI_corer_9cm-019-FYI-RHO</t>
  </si>
  <si>
    <t>PS149-DO18-185</t>
  </si>
  <si>
    <t>PS149-DO18-186</t>
  </si>
  <si>
    <t>PS149-DO18-187</t>
  </si>
  <si>
    <t>PS149-DO18-188</t>
  </si>
  <si>
    <t>PS149-DO18-189</t>
  </si>
  <si>
    <t>PS149-DO18-190</t>
  </si>
  <si>
    <t>PS149-DO18-191</t>
  </si>
  <si>
    <t>PS149-DO18-192</t>
  </si>
  <si>
    <t>PS149-DO18-193</t>
  </si>
  <si>
    <t>PS149-DO18-194</t>
  </si>
  <si>
    <t>PS149-DO18-195</t>
  </si>
  <si>
    <t>PS149-DO18-196</t>
  </si>
  <si>
    <t>PS149-DO18-197</t>
  </si>
  <si>
    <t>PS149-DO18-198</t>
  </si>
  <si>
    <t>PS149-DO18-199</t>
  </si>
  <si>
    <t>PS149-DO18-200</t>
  </si>
  <si>
    <t>PS149-DO18-201</t>
  </si>
  <si>
    <t>PS149-DO18-202</t>
  </si>
  <si>
    <t>PS149-DO18-203</t>
  </si>
  <si>
    <t>PS149-DO18-204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</si>
</sst>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6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 FYI Station 2c SALO18 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SALO18!$C$5:$C$29</c:f>
              <c:numCache>
                <c:formatCode>0.00</c:formatCode>
                <c:ptCount val="25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0.32499999999999996</c:v>
                </c:pt>
                <c:pt idx="7">
                  <c:v>0.375</c:v>
                </c:pt>
                <c:pt idx="8">
                  <c:v>0.42500000000000004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0.79</c:v>
                </c:pt>
                <c:pt idx="16">
                  <c:v>0.85499999999999998</c:v>
                </c:pt>
                <c:pt idx="17">
                  <c:v>0.90500000000000003</c:v>
                </c:pt>
                <c:pt idx="18">
                  <c:v>0.95500000000000007</c:v>
                </c:pt>
                <c:pt idx="19">
                  <c:v>1.0049999999999999</c:v>
                </c:pt>
              </c:numCache>
            </c:numRef>
          </c:xVal>
          <c:yVal>
            <c:numRef>
              <c:f>SALO18!$E$5:$E$29</c:f>
              <c:numCache>
                <c:formatCode>General</c:formatCode>
                <c:ptCount val="25"/>
                <c:pt idx="0">
                  <c:v>3.8</c:v>
                </c:pt>
                <c:pt idx="1">
                  <c:v>2.1</c:v>
                </c:pt>
                <c:pt idx="2">
                  <c:v>1.6</c:v>
                </c:pt>
                <c:pt idx="3">
                  <c:v>1.7</c:v>
                </c:pt>
                <c:pt idx="4">
                  <c:v>1</c:v>
                </c:pt>
                <c:pt idx="5">
                  <c:v>1.3</c:v>
                </c:pt>
                <c:pt idx="6">
                  <c:v>1.2</c:v>
                </c:pt>
                <c:pt idx="7">
                  <c:v>1.5</c:v>
                </c:pt>
                <c:pt idx="8">
                  <c:v>1.8</c:v>
                </c:pt>
                <c:pt idx="9">
                  <c:v>2.1</c:v>
                </c:pt>
                <c:pt idx="10">
                  <c:v>2.5</c:v>
                </c:pt>
                <c:pt idx="11">
                  <c:v>2.7</c:v>
                </c:pt>
                <c:pt idx="12">
                  <c:v>2.7</c:v>
                </c:pt>
                <c:pt idx="13">
                  <c:v>2.8</c:v>
                </c:pt>
                <c:pt idx="14">
                  <c:v>2.8</c:v>
                </c:pt>
                <c:pt idx="15">
                  <c:v>3</c:v>
                </c:pt>
                <c:pt idx="16">
                  <c:v>3</c:v>
                </c:pt>
                <c:pt idx="17">
                  <c:v>2.4</c:v>
                </c:pt>
                <c:pt idx="18">
                  <c:v>1.9</c:v>
                </c:pt>
                <c:pt idx="19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9F-465C-B501-BD54FDF96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467551"/>
        <c:axId val="267475231"/>
      </c:scatterChart>
      <c:valAx>
        <c:axId val="26746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67475231"/>
        <c:crosses val="autoZero"/>
        <c:crossBetween val="midCat"/>
      </c:valAx>
      <c:valAx>
        <c:axId val="2674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6746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905435</xdr:colOff>
      <xdr:row>15</xdr:row>
      <xdr:rowOff>8965</xdr:rowOff>
    </xdr:from>
    <xdr:to>
      <xdr:col>20</xdr:col>
      <xdr:colOff>286870</xdr:colOff>
      <xdr:row>29</xdr:row>
      <xdr:rowOff>89647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C5C5E-A282-4E82-4C0A-530ACF4F4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5"/>
  <sheetViews>
    <sheetView zoomScale="85" zoomScaleNormal="85" workbookViewId="0">
      <selection activeCell="C1" sqref="C1:E1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7">
      <c r="A1" s="7" t="s">
        <v>0</v>
      </c>
      <c r="B1" s="8" t="s">
        <v>1</v>
      </c>
      <c r="C1" s="143" t="s">
        <v>336</v>
      </c>
      <c r="D1" s="143"/>
      <c r="E1" s="143"/>
      <c r="F1" s="9"/>
    </row>
    <row r="2" spans="1:7" ht="14.4">
      <c r="A2" s="7" t="s">
        <v>2</v>
      </c>
      <c r="B2" s="8"/>
      <c r="C2" s="10">
        <v>45881</v>
      </c>
      <c r="D2" s="11" t="s">
        <v>3</v>
      </c>
      <c r="E2" s="9"/>
      <c r="F2" s="9"/>
    </row>
    <row r="3" spans="1:7" ht="14.4">
      <c r="A3" s="7" t="s">
        <v>4</v>
      </c>
      <c r="B3" s="8"/>
      <c r="C3" s="12">
        <v>0.45902777777777776</v>
      </c>
      <c r="D3" s="11" t="s">
        <v>3</v>
      </c>
      <c r="E3" s="9"/>
      <c r="F3" s="9"/>
    </row>
    <row r="4" spans="1:7">
      <c r="A4" s="13" t="s">
        <v>5</v>
      </c>
      <c r="B4" s="14" t="s">
        <v>1</v>
      </c>
      <c r="C4" s="143" t="s">
        <v>308</v>
      </c>
      <c r="D4" s="143"/>
      <c r="E4" s="143"/>
      <c r="F4" s="9"/>
    </row>
    <row r="5" spans="1:7">
      <c r="A5" s="9"/>
      <c r="B5" s="9"/>
      <c r="C5" s="9"/>
      <c r="D5" s="9"/>
      <c r="E5" s="9"/>
      <c r="F5" s="9"/>
    </row>
    <row r="6" spans="1:7">
      <c r="A6" s="15" t="s">
        <v>6</v>
      </c>
      <c r="B6" s="9"/>
      <c r="C6" s="9"/>
      <c r="D6" s="9"/>
      <c r="E6" s="9"/>
      <c r="F6" s="9"/>
    </row>
    <row r="7" spans="1:7" ht="14.4">
      <c r="A7" s="7" t="s">
        <v>7</v>
      </c>
      <c r="B7" s="8" t="s">
        <v>8</v>
      </c>
      <c r="C7" s="16">
        <v>1.03</v>
      </c>
      <c r="D7" s="17" t="s">
        <v>9</v>
      </c>
      <c r="E7" s="9"/>
      <c r="F7" s="9"/>
      <c r="G7" s="6" t="s">
        <v>337</v>
      </c>
    </row>
    <row r="8" spans="1:7" ht="14.4">
      <c r="A8" s="7" t="s">
        <v>10</v>
      </c>
      <c r="B8" s="8" t="s">
        <v>8</v>
      </c>
      <c r="C8" s="16">
        <v>0.9</v>
      </c>
      <c r="D8" s="17" t="s">
        <v>9</v>
      </c>
      <c r="E8" s="9"/>
      <c r="F8" s="9"/>
    </row>
    <row r="9" spans="1:7">
      <c r="A9" s="7" t="s">
        <v>11</v>
      </c>
      <c r="B9" s="8" t="s">
        <v>8</v>
      </c>
      <c r="C9" s="18"/>
      <c r="D9" s="9"/>
      <c r="E9" s="9"/>
      <c r="F9" s="9"/>
    </row>
    <row r="10" spans="1:7">
      <c r="A10" s="7" t="s">
        <v>12</v>
      </c>
      <c r="B10" s="8" t="s">
        <v>8</v>
      </c>
      <c r="C10" s="16">
        <v>1.03</v>
      </c>
      <c r="D10" s="9" t="s">
        <v>13</v>
      </c>
      <c r="E10" s="9"/>
      <c r="F10" s="9"/>
    </row>
    <row r="11" spans="1:7">
      <c r="A11" s="9"/>
      <c r="B11" s="9"/>
      <c r="C11" s="9"/>
      <c r="D11" s="9"/>
      <c r="E11" s="9"/>
      <c r="F11" s="9"/>
    </row>
    <row r="12" spans="1:7">
      <c r="A12" s="19" t="s">
        <v>14</v>
      </c>
      <c r="B12" s="19"/>
      <c r="C12" s="19"/>
      <c r="D12" s="19"/>
      <c r="E12" s="19"/>
      <c r="F12" s="19"/>
    </row>
    <row r="13" spans="1:7">
      <c r="A13" s="19" t="s">
        <v>15</v>
      </c>
      <c r="B13" s="19"/>
      <c r="C13" s="143" t="s">
        <v>298</v>
      </c>
      <c r="D13" s="143"/>
      <c r="E13" s="143"/>
      <c r="F13" s="143"/>
    </row>
    <row r="14" spans="1:7">
      <c r="B14" s="6" t="s">
        <v>300</v>
      </c>
      <c r="C14" s="6" t="s">
        <v>301</v>
      </c>
      <c r="D14" s="5"/>
      <c r="E14" s="5"/>
      <c r="F14" s="5"/>
    </row>
    <row r="15" spans="1:7">
      <c r="B15" s="6" t="s">
        <v>328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abSelected="1" topLeftCell="A9" zoomScale="85" zoomScaleNormal="85" workbookViewId="0">
      <selection activeCell="C46" sqref="C46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4" t="s">
        <v>19</v>
      </c>
      <c r="B2" s="144"/>
      <c r="C2" s="144"/>
      <c r="D2" s="144"/>
      <c r="E2" s="14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9" t="s">
        <v>307</v>
      </c>
      <c r="D3" s="149"/>
      <c r="E3" s="149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50" t="s">
        <v>305</v>
      </c>
      <c r="D4" s="150"/>
      <c r="E4" s="150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4" t="s">
        <v>22</v>
      </c>
      <c r="B5" s="144"/>
      <c r="C5" s="144"/>
      <c r="D5" s="144"/>
      <c r="E5" s="144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51" t="s">
        <v>23</v>
      </c>
      <c r="D6" s="151"/>
      <c r="E6" s="151"/>
      <c r="F6" s="144" t="s">
        <v>24</v>
      </c>
      <c r="G6" s="144"/>
      <c r="H6" s="144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84.477710999999999</v>
      </c>
      <c r="D8" s="30"/>
      <c r="E8" s="31"/>
      <c r="F8">
        <v>84.478781999999995</v>
      </c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22.103874999999999</v>
      </c>
      <c r="D9" s="34"/>
      <c r="E9" s="35"/>
      <c r="F9">
        <v>22.061543</v>
      </c>
      <c r="G9" s="34"/>
      <c r="I9" s="22" t="s">
        <v>333</v>
      </c>
      <c r="J9" s="22" t="s">
        <v>332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8" t="s">
        <v>32</v>
      </c>
      <c r="B10" s="148"/>
      <c r="C10" s="148"/>
      <c r="D10" s="148"/>
      <c r="E10" s="148"/>
      <c r="F10" s="144"/>
      <c r="G10" s="144"/>
      <c r="H10" s="144"/>
      <c r="I10" s="14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45881</v>
      </c>
      <c r="D12" s="38">
        <v>45881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0.45902777777777776</v>
      </c>
      <c r="D13" s="39">
        <v>0.4909722222222222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8" t="s">
        <v>39</v>
      </c>
      <c r="B15" s="148"/>
      <c r="C15" s="148"/>
      <c r="D15" s="148"/>
      <c r="E15" s="148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0.02</v>
      </c>
      <c r="D16">
        <v>0.03</v>
      </c>
      <c r="E16">
        <v>0.04</v>
      </c>
      <c r="F16">
        <v>0.04</v>
      </c>
      <c r="G16">
        <v>0.02</v>
      </c>
      <c r="I16" s="22" t="s">
        <v>306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238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4" t="s">
        <v>53</v>
      </c>
      <c r="B24" s="144"/>
      <c r="C24" s="144"/>
      <c r="D24" s="144"/>
      <c r="E24" s="1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-0.1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-0.2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-1.1000000000000001</v>
      </c>
      <c r="D28" s="49" t="s">
        <v>62</v>
      </c>
      <c r="E28" s="49"/>
      <c r="F28" s="22">
        <v>-1.6</v>
      </c>
      <c r="G28" s="22" t="s">
        <v>334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4" t="s">
        <v>63</v>
      </c>
      <c r="B29" s="144"/>
      <c r="C29" s="144"/>
      <c r="D29" s="144"/>
      <c r="E29" s="14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330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336</v>
      </c>
      <c r="D31" s="52" t="s">
        <v>338</v>
      </c>
      <c r="E31" s="52" t="s">
        <v>339</v>
      </c>
      <c r="F31" s="52" t="s">
        <v>340</v>
      </c>
      <c r="G31" s="52" t="s">
        <v>303</v>
      </c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297</v>
      </c>
      <c r="D32" t="s">
        <v>299</v>
      </c>
      <c r="E32" t="s">
        <v>302</v>
      </c>
      <c r="F32" t="s">
        <v>335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5"/>
      <c r="D33" s="145"/>
      <c r="E33" s="145"/>
      <c r="F33" s="145"/>
      <c r="G33" s="145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4" t="s">
        <v>68</v>
      </c>
      <c r="B35" s="144"/>
      <c r="C35" s="144"/>
      <c r="D35" s="144"/>
      <c r="E35" s="14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5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>
        <v>163</v>
      </c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46" t="s">
        <v>79</v>
      </c>
      <c r="B41" s="146"/>
      <c r="C41" s="146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47" t="s">
        <v>331</v>
      </c>
      <c r="B42" s="147"/>
      <c r="C42" s="147"/>
      <c r="D42" s="147"/>
      <c r="E42" s="147"/>
      <c r="F42" s="147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:E2"/>
    <mergeCell ref="C3:E3"/>
    <mergeCell ref="C4:E4"/>
    <mergeCell ref="A5:E5"/>
    <mergeCell ref="C6:E6"/>
    <mergeCell ref="F6:H6"/>
    <mergeCell ref="A10:E10"/>
    <mergeCell ref="F10:I10"/>
    <mergeCell ref="A15:E15"/>
    <mergeCell ref="A24:E24"/>
    <mergeCell ref="A29:E29"/>
    <mergeCell ref="C33:G33"/>
    <mergeCell ref="A35:E35"/>
    <mergeCell ref="A41:C41"/>
    <mergeCell ref="A42:F42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7"/>
  <sheetViews>
    <sheetView zoomScale="85" zoomScaleNormal="85" workbookViewId="0">
      <selection activeCell="N23" sqref="N23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>
        <v>0</v>
      </c>
      <c r="B5" s="141">
        <v>0.05</v>
      </c>
      <c r="C5" s="142">
        <f>AVERAGE(A5:B5)</f>
        <v>2.5000000000000001E-2</v>
      </c>
      <c r="D5" s="6" t="s">
        <v>309</v>
      </c>
      <c r="E5" s="62">
        <v>3.8</v>
      </c>
      <c r="F5" s="6">
        <v>6.93</v>
      </c>
      <c r="G5" s="6">
        <v>19.7</v>
      </c>
      <c r="I5" s="6" t="s">
        <v>341</v>
      </c>
      <c r="K5" s="6" t="s">
        <v>341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>
        <v>0.05</v>
      </c>
      <c r="B6" s="142">
        <v>0.1</v>
      </c>
      <c r="C6" s="142">
        <f t="shared" ref="C6:C24" si="0">AVERAGE(A6:B6)</f>
        <v>7.5000000000000011E-2</v>
      </c>
      <c r="D6" s="6" t="s">
        <v>310</v>
      </c>
      <c r="E6" s="62">
        <v>2.1</v>
      </c>
      <c r="F6" s="6">
        <v>4.03</v>
      </c>
      <c r="G6" s="6">
        <v>20.100000000000001</v>
      </c>
      <c r="I6" s="6" t="s">
        <v>342</v>
      </c>
      <c r="K6" s="6" t="s">
        <v>342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>
        <v>0.1</v>
      </c>
      <c r="B7" s="141">
        <v>0.15</v>
      </c>
      <c r="C7" s="142">
        <f t="shared" si="0"/>
        <v>0.125</v>
      </c>
      <c r="D7" s="6" t="s">
        <v>311</v>
      </c>
      <c r="E7" s="62">
        <v>1.6</v>
      </c>
      <c r="F7" s="6">
        <v>3.07</v>
      </c>
      <c r="G7" s="6">
        <v>19.3</v>
      </c>
      <c r="I7" s="6" t="s">
        <v>343</v>
      </c>
      <c r="K7" s="6" t="s">
        <v>343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>
        <v>0.15</v>
      </c>
      <c r="B8" s="142">
        <v>0.2</v>
      </c>
      <c r="C8" s="142">
        <f t="shared" si="0"/>
        <v>0.17499999999999999</v>
      </c>
      <c r="D8" s="6" t="s">
        <v>312</v>
      </c>
      <c r="E8" s="62">
        <v>1.7</v>
      </c>
      <c r="F8" s="6">
        <v>3.19</v>
      </c>
      <c r="G8" s="6">
        <v>19.5</v>
      </c>
      <c r="I8" s="6" t="s">
        <v>344</v>
      </c>
      <c r="K8" s="6" t="s">
        <v>344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>
        <v>0.2</v>
      </c>
      <c r="B9" s="141">
        <v>0.25</v>
      </c>
      <c r="C9" s="142">
        <f t="shared" si="0"/>
        <v>0.22500000000000001</v>
      </c>
      <c r="D9" s="6" t="s">
        <v>313</v>
      </c>
      <c r="E9" s="62">
        <v>1</v>
      </c>
      <c r="F9" s="6">
        <v>1.9390000000000001</v>
      </c>
      <c r="G9" s="6">
        <v>19.7</v>
      </c>
      <c r="I9" s="6" t="s">
        <v>345</v>
      </c>
      <c r="K9" s="6" t="s">
        <v>345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>
        <v>0.25</v>
      </c>
      <c r="B10" s="142">
        <v>0.3</v>
      </c>
      <c r="C10" s="142">
        <f t="shared" si="0"/>
        <v>0.27500000000000002</v>
      </c>
      <c r="D10" s="6" t="s">
        <v>314</v>
      </c>
      <c r="E10" s="62">
        <v>1.3</v>
      </c>
      <c r="F10" s="6">
        <v>2.54</v>
      </c>
      <c r="G10" s="6">
        <v>19.8</v>
      </c>
      <c r="I10" s="6" t="s">
        <v>346</v>
      </c>
      <c r="K10" s="6" t="s">
        <v>346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>
        <v>0.3</v>
      </c>
      <c r="B11" s="141">
        <v>0.35</v>
      </c>
      <c r="C11" s="142">
        <f t="shared" si="0"/>
        <v>0.32499999999999996</v>
      </c>
      <c r="D11" s="6" t="s">
        <v>315</v>
      </c>
      <c r="E11" s="62">
        <v>1.2</v>
      </c>
      <c r="F11" s="6">
        <v>2.4</v>
      </c>
      <c r="G11" s="6">
        <v>19.600000000000001</v>
      </c>
      <c r="I11" s="6" t="s">
        <v>347</v>
      </c>
      <c r="K11" s="6" t="s">
        <v>347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1">
        <v>0.35</v>
      </c>
      <c r="B12" s="142">
        <v>0.4</v>
      </c>
      <c r="C12" s="142">
        <f t="shared" si="0"/>
        <v>0.375</v>
      </c>
      <c r="D12" s="6" t="s">
        <v>316</v>
      </c>
      <c r="E12" s="62">
        <v>1.5</v>
      </c>
      <c r="F12" s="6">
        <v>2.9</v>
      </c>
      <c r="G12" s="6">
        <v>19.100000000000001</v>
      </c>
      <c r="I12" s="6" t="s">
        <v>348</v>
      </c>
      <c r="K12" s="6" t="s">
        <v>348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1">
        <v>0.4</v>
      </c>
      <c r="B13" s="141">
        <v>0.45</v>
      </c>
      <c r="C13" s="142">
        <f t="shared" si="0"/>
        <v>0.42500000000000004</v>
      </c>
      <c r="D13" s="6" t="s">
        <v>317</v>
      </c>
      <c r="E13" s="62">
        <v>1.8</v>
      </c>
      <c r="F13" s="6">
        <v>3.5</v>
      </c>
      <c r="G13" s="6">
        <v>19.100000000000001</v>
      </c>
      <c r="I13" s="6" t="s">
        <v>349</v>
      </c>
      <c r="K13" s="6" t="s">
        <v>349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1">
        <v>0.45</v>
      </c>
      <c r="B14" s="142">
        <v>0.5</v>
      </c>
      <c r="C14" s="142">
        <f t="shared" si="0"/>
        <v>0.47499999999999998</v>
      </c>
      <c r="D14" s="6" t="s">
        <v>318</v>
      </c>
      <c r="E14" s="62">
        <v>2.1</v>
      </c>
      <c r="F14" s="6">
        <v>3.98</v>
      </c>
      <c r="G14" s="6">
        <v>19.2</v>
      </c>
      <c r="I14" s="6" t="s">
        <v>350</v>
      </c>
      <c r="K14" s="6" t="s">
        <v>350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1">
        <v>0.5</v>
      </c>
      <c r="B15" s="141">
        <v>0.55000000000000004</v>
      </c>
      <c r="C15" s="142">
        <f t="shared" si="0"/>
        <v>0.52500000000000002</v>
      </c>
      <c r="D15" s="6" t="s">
        <v>319</v>
      </c>
      <c r="E15" s="62">
        <v>2.5</v>
      </c>
      <c r="F15" s="6">
        <v>4.78</v>
      </c>
      <c r="G15" s="6">
        <v>19.100000000000001</v>
      </c>
      <c r="I15" s="6" t="s">
        <v>351</v>
      </c>
      <c r="K15" s="6" t="s">
        <v>351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1">
        <v>0.55000000000000004</v>
      </c>
      <c r="B16" s="142">
        <v>0.6</v>
      </c>
      <c r="C16" s="142">
        <f t="shared" si="0"/>
        <v>0.57499999999999996</v>
      </c>
      <c r="D16" s="6" t="s">
        <v>320</v>
      </c>
      <c r="E16" s="62">
        <v>2.7</v>
      </c>
      <c r="F16" s="6">
        <v>5.07</v>
      </c>
      <c r="G16" s="6">
        <v>19.7</v>
      </c>
      <c r="I16" s="6" t="s">
        <v>352</v>
      </c>
      <c r="K16" s="6" t="s">
        <v>352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1">
        <v>0.6</v>
      </c>
      <c r="B17" s="141">
        <v>0.65</v>
      </c>
      <c r="C17" s="142">
        <f t="shared" si="0"/>
        <v>0.625</v>
      </c>
      <c r="D17" s="6" t="s">
        <v>321</v>
      </c>
      <c r="E17" s="62">
        <v>2.7</v>
      </c>
      <c r="F17" s="6">
        <v>5</v>
      </c>
      <c r="G17" s="6">
        <v>19.3</v>
      </c>
      <c r="I17" s="6" t="s">
        <v>353</v>
      </c>
      <c r="K17" s="6" t="s">
        <v>353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1">
        <v>0.65</v>
      </c>
      <c r="B18" s="142">
        <v>0.7</v>
      </c>
      <c r="C18" s="142">
        <f t="shared" si="0"/>
        <v>0.67500000000000004</v>
      </c>
      <c r="D18" s="6" t="s">
        <v>322</v>
      </c>
      <c r="E18" s="62">
        <v>2.8</v>
      </c>
      <c r="F18" s="6">
        <v>5.2</v>
      </c>
      <c r="G18" s="6">
        <v>20</v>
      </c>
      <c r="I18" s="6" t="s">
        <v>354</v>
      </c>
      <c r="K18" s="6" t="s">
        <v>354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1">
        <v>0.7</v>
      </c>
      <c r="B19" s="141">
        <v>0.75</v>
      </c>
      <c r="C19" s="142">
        <f t="shared" si="0"/>
        <v>0.72499999999999998</v>
      </c>
      <c r="D19" s="6" t="s">
        <v>323</v>
      </c>
      <c r="E19" s="62">
        <v>2.8</v>
      </c>
      <c r="F19" s="6">
        <v>5.24</v>
      </c>
      <c r="G19" s="6">
        <v>19.899999999999999</v>
      </c>
      <c r="I19" s="6" t="s">
        <v>355</v>
      </c>
      <c r="K19" s="6" t="s">
        <v>355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1">
        <v>0.75</v>
      </c>
      <c r="B20" s="142">
        <v>0.83</v>
      </c>
      <c r="C20" s="142">
        <f t="shared" si="0"/>
        <v>0.79</v>
      </c>
      <c r="D20" s="6" t="s">
        <v>329</v>
      </c>
      <c r="E20" s="62">
        <v>3</v>
      </c>
      <c r="F20" s="6">
        <v>5.58</v>
      </c>
      <c r="G20" s="6">
        <v>19.3</v>
      </c>
      <c r="I20" s="6" t="s">
        <v>356</v>
      </c>
      <c r="K20" s="6" t="s">
        <v>356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1">
        <v>0.83</v>
      </c>
      <c r="B21" s="141">
        <v>0.88</v>
      </c>
      <c r="C21" s="142">
        <f t="shared" si="0"/>
        <v>0.85499999999999998</v>
      </c>
      <c r="D21" s="6" t="s">
        <v>324</v>
      </c>
      <c r="E21" s="62">
        <v>3</v>
      </c>
      <c r="F21" s="6">
        <v>5.58</v>
      </c>
      <c r="G21" s="6">
        <v>19.399999999999999</v>
      </c>
      <c r="I21" s="6" t="s">
        <v>357</v>
      </c>
      <c r="K21" s="6" t="s">
        <v>357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1">
        <v>0.88</v>
      </c>
      <c r="B22" s="142">
        <v>0.93</v>
      </c>
      <c r="C22" s="142">
        <f t="shared" si="0"/>
        <v>0.90500000000000003</v>
      </c>
      <c r="D22" s="6" t="s">
        <v>325</v>
      </c>
      <c r="E22" s="62">
        <v>2.4</v>
      </c>
      <c r="F22" s="6">
        <v>4.55</v>
      </c>
      <c r="G22" s="6">
        <v>19.7</v>
      </c>
      <c r="I22" s="6" t="s">
        <v>358</v>
      </c>
      <c r="K22" s="6" t="s">
        <v>358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1">
        <v>0.93</v>
      </c>
      <c r="B23" s="141">
        <v>0.98</v>
      </c>
      <c r="C23" s="142">
        <f t="shared" si="0"/>
        <v>0.95500000000000007</v>
      </c>
      <c r="D23" s="6" t="s">
        <v>326</v>
      </c>
      <c r="E23" s="62">
        <v>1.9</v>
      </c>
      <c r="F23" s="6">
        <v>3.7</v>
      </c>
      <c r="G23" s="6">
        <v>19.5</v>
      </c>
      <c r="I23" s="6" t="s">
        <v>359</v>
      </c>
      <c r="K23" s="6" t="s">
        <v>359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1">
        <v>0.98</v>
      </c>
      <c r="B24" s="142">
        <v>1.03</v>
      </c>
      <c r="C24" s="142">
        <f t="shared" si="0"/>
        <v>1.0049999999999999</v>
      </c>
      <c r="D24" s="6" t="s">
        <v>327</v>
      </c>
      <c r="E24" s="62">
        <v>1.5</v>
      </c>
      <c r="F24" s="6">
        <v>3.01</v>
      </c>
      <c r="G24" s="6">
        <v>19.2</v>
      </c>
      <c r="I24" s="6" t="s">
        <v>360</v>
      </c>
      <c r="K24" s="6" t="s">
        <v>360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1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1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1"/>
      <c r="B27" s="141"/>
      <c r="C27" s="142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1"/>
      <c r="B28" s="142"/>
      <c r="C28" s="142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1"/>
      <c r="B29" s="141"/>
      <c r="C29" s="142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E46" s="152"/>
      <c r="F46" s="15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>
      <c r="D47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A4" sqref="A4:A21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4" t="s">
        <v>95</v>
      </c>
      <c r="D2" s="154"/>
      <c r="E2" s="154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5" t="s">
        <v>1</v>
      </c>
      <c r="D3" s="155"/>
      <c r="E3" s="155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6">
      <c r="A4" s="70"/>
      <c r="B4" s="70"/>
      <c r="C4" s="153"/>
      <c r="D4" s="153"/>
      <c r="E4" s="153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70"/>
      <c r="B5" s="70"/>
      <c r="C5" s="153"/>
      <c r="D5" s="153"/>
      <c r="E5" s="153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70"/>
      <c r="B6" s="70"/>
      <c r="C6" s="153"/>
      <c r="D6" s="153"/>
      <c r="E6" s="153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70"/>
      <c r="B7" s="70"/>
      <c r="C7" s="153"/>
      <c r="D7" s="153"/>
      <c r="E7" s="153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70"/>
      <c r="B8" s="70"/>
      <c r="C8" s="153"/>
      <c r="D8" s="153"/>
      <c r="E8" s="153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70"/>
      <c r="B9" s="70"/>
      <c r="C9" s="153"/>
      <c r="D9" s="153"/>
      <c r="E9" s="153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70"/>
      <c r="B10" s="70"/>
      <c r="C10" s="153"/>
      <c r="D10" s="153"/>
      <c r="E10" s="153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70"/>
      <c r="B11" s="70"/>
      <c r="C11" s="153"/>
      <c r="D11" s="153"/>
      <c r="E11" s="153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70"/>
      <c r="B12" s="70"/>
      <c r="C12" s="153"/>
      <c r="D12" s="153"/>
      <c r="E12" s="153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70"/>
      <c r="B13" s="70"/>
      <c r="C13" s="153"/>
      <c r="D13" s="153"/>
      <c r="E13" s="153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70"/>
      <c r="B14" s="70"/>
      <c r="C14" s="153"/>
      <c r="D14" s="153"/>
      <c r="E14" s="153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70"/>
      <c r="B15" s="70"/>
      <c r="C15" s="153"/>
      <c r="D15" s="153"/>
      <c r="E15" s="153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70"/>
      <c r="B16" s="70"/>
      <c r="C16" s="153"/>
      <c r="D16" s="153"/>
      <c r="E16" s="153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70"/>
      <c r="B17" s="70"/>
      <c r="C17" s="153"/>
      <c r="D17" s="153"/>
      <c r="E17" s="153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70"/>
      <c r="B18" s="70"/>
      <c r="C18" s="153"/>
      <c r="D18" s="153"/>
      <c r="E18" s="153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70"/>
      <c r="B19" s="70"/>
      <c r="C19" s="153"/>
      <c r="D19" s="153"/>
      <c r="E19" s="153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70"/>
      <c r="B20" s="70"/>
      <c r="C20" s="153"/>
      <c r="D20" s="153"/>
      <c r="E20" s="153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70"/>
      <c r="B21" s="70"/>
      <c r="C21" s="153"/>
      <c r="D21" s="153"/>
      <c r="E21" s="15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70"/>
      <c r="B22" s="70"/>
      <c r="C22" s="153"/>
      <c r="D22" s="153"/>
      <c r="E22" s="153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70"/>
      <c r="B23" s="70"/>
      <c r="C23" s="153"/>
      <c r="D23" s="153"/>
      <c r="E23" s="153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70"/>
      <c r="B24" s="70"/>
      <c r="C24" s="153"/>
      <c r="D24" s="153"/>
      <c r="E24" s="153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70"/>
      <c r="B25" s="70"/>
      <c r="C25" s="153"/>
      <c r="D25" s="153"/>
      <c r="E25" s="153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70"/>
      <c r="B26" s="70"/>
      <c r="C26" s="153"/>
      <c r="D26" s="153"/>
      <c r="E26" s="153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70"/>
      <c r="B27" s="70"/>
      <c r="C27" s="153"/>
      <c r="D27" s="153"/>
      <c r="E27" s="153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70"/>
      <c r="B28" s="70"/>
      <c r="C28" s="153"/>
      <c r="D28" s="153"/>
      <c r="E28" s="153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70"/>
      <c r="B29" s="70"/>
      <c r="C29" s="153"/>
      <c r="D29" s="153"/>
      <c r="E29" s="153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70"/>
      <c r="B30" s="70"/>
      <c r="C30" s="153"/>
      <c r="D30" s="153"/>
      <c r="E30" s="153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70"/>
      <c r="B31" s="70"/>
      <c r="C31" s="153"/>
      <c r="D31" s="153"/>
      <c r="E31" s="153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70"/>
      <c r="B32" s="70"/>
      <c r="C32" s="153"/>
      <c r="D32" s="153"/>
      <c r="E32" s="153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70"/>
      <c r="B33" s="70"/>
      <c r="C33" s="153"/>
      <c r="D33" s="153"/>
      <c r="E33" s="153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70"/>
      <c r="B34" s="70"/>
      <c r="C34" s="153"/>
      <c r="D34" s="153"/>
      <c r="E34" s="153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70"/>
      <c r="B35" s="70"/>
      <c r="C35" s="153"/>
      <c r="D35" s="153"/>
      <c r="E35" s="15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70"/>
      <c r="B36" s="70"/>
      <c r="C36" s="153"/>
      <c r="D36" s="153"/>
      <c r="E36" s="153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70"/>
      <c r="B37" s="70"/>
      <c r="C37" s="153"/>
      <c r="D37" s="153"/>
      <c r="E37" s="153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70"/>
      <c r="B38" s="70"/>
      <c r="C38" s="153"/>
      <c r="D38" s="153"/>
      <c r="E38" s="153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70"/>
      <c r="B39" s="70"/>
      <c r="C39" s="153"/>
      <c r="D39" s="153"/>
      <c r="E39" s="153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7:E37"/>
    <mergeCell ref="C38:E38"/>
    <mergeCell ref="C39:E39"/>
    <mergeCell ref="C32:E32"/>
    <mergeCell ref="C33:E33"/>
    <mergeCell ref="C34:E34"/>
    <mergeCell ref="C35:E35"/>
    <mergeCell ref="C36:E3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F20" sqref="F20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7" t="s">
        <v>105</v>
      </c>
      <c r="E2" s="157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8" t="s">
        <v>106</v>
      </c>
      <c r="E3" s="158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1.03</v>
      </c>
      <c r="D4" s="156"/>
      <c r="E4" s="156"/>
      <c r="F4" s="6" t="s">
        <v>304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C5" s="6">
        <v>0.26</v>
      </c>
      <c r="D5" s="156" t="s">
        <v>181</v>
      </c>
      <c r="E5" s="156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D6" s="156"/>
      <c r="E6" s="15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56"/>
      <c r="E7" s="156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6"/>
      <c r="E8" s="15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6"/>
      <c r="E9" s="15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6"/>
      <c r="E10" s="15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6"/>
      <c r="E11" s="15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6"/>
      <c r="E12" s="156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6"/>
      <c r="E13" s="156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6"/>
      <c r="E14" s="156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6"/>
      <c r="E15" s="156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6"/>
      <c r="E16" s="156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6"/>
      <c r="E17" s="156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6"/>
      <c r="E18" s="156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6"/>
      <c r="E19" s="156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6"/>
      <c r="E20" s="15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6"/>
      <c r="E21" s="15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6"/>
      <c r="E22" s="156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6"/>
      <c r="E23" s="15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6"/>
      <c r="E24" s="156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6"/>
      <c r="E25" s="156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6"/>
      <c r="E26" s="156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6"/>
      <c r="E27" s="156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6"/>
      <c r="E28" s="156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6"/>
      <c r="E29" s="156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6"/>
      <c r="E30" s="156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6"/>
      <c r="E31" s="156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6"/>
      <c r="E32" s="156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6"/>
      <c r="E33" s="156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6"/>
      <c r="E34" s="156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6"/>
      <c r="E35" s="156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6"/>
      <c r="E36" s="15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6"/>
      <c r="E37" s="156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6"/>
      <c r="E38" s="156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6"/>
      <c r="E39" s="156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6"/>
      <c r="E40" s="156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6"/>
      <c r="E41" s="156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6"/>
      <c r="E42" s="156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6"/>
      <c r="E43" s="156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6"/>
      <c r="E44" s="156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6"/>
      <c r="E45" s="156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6"/>
      <c r="E46" s="156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2"/>
      <c r="E47" s="15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7:E47"/>
    <mergeCell ref="D42:E42"/>
    <mergeCell ref="D43:E43"/>
    <mergeCell ref="D44:E44"/>
    <mergeCell ref="D45:E45"/>
    <mergeCell ref="D46:E4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/>
      <c r="B4" s="141"/>
      <c r="C4" s="142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/>
      <c r="B5" s="141"/>
      <c r="C5" s="142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/>
      <c r="B6" s="141"/>
      <c r="C6" s="142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/>
      <c r="B7" s="141"/>
      <c r="C7" s="142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/>
      <c r="B8" s="141"/>
      <c r="C8" s="142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/>
      <c r="B9" s="141"/>
      <c r="C9" s="142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/>
      <c r="B10" s="141"/>
      <c r="C10" s="142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/>
      <c r="B11" s="141"/>
      <c r="C11" s="142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/>
      <c r="B12" s="141"/>
      <c r="C12" s="142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/>
      <c r="B13" s="141"/>
      <c r="C13" s="142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/>
      <c r="B14" s="141"/>
      <c r="C14" s="142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/>
      <c r="B15" s="141"/>
      <c r="C15" s="142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/>
      <c r="B16" s="141"/>
      <c r="C16" s="142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/>
      <c r="B17" s="141"/>
      <c r="C17" s="142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1" t="s">
        <v>122</v>
      </c>
      <c r="G2" s="161"/>
      <c r="H2" s="161" t="s">
        <v>123</v>
      </c>
      <c r="I2" s="161"/>
      <c r="J2" s="162" t="s">
        <v>124</v>
      </c>
      <c r="K2" s="162"/>
      <c r="L2" s="161" t="s">
        <v>125</v>
      </c>
      <c r="M2" s="161"/>
      <c r="N2" s="162" t="s">
        <v>126</v>
      </c>
      <c r="O2" s="162"/>
      <c r="P2" s="160" t="s">
        <v>127</v>
      </c>
      <c r="Q2" s="160"/>
      <c r="R2" s="157" t="s">
        <v>128</v>
      </c>
      <c r="S2" s="157"/>
      <c r="T2" s="160" t="s">
        <v>129</v>
      </c>
      <c r="U2" s="160"/>
      <c r="V2" s="157" t="s">
        <v>130</v>
      </c>
      <c r="W2" s="157"/>
      <c r="X2" s="160" t="s">
        <v>131</v>
      </c>
      <c r="Y2" s="160"/>
      <c r="Z2" s="159" t="s">
        <v>132</v>
      </c>
      <c r="AA2" s="159"/>
      <c r="AB2" s="159" t="s">
        <v>133</v>
      </c>
      <c r="AC2" s="159"/>
      <c r="AD2" s="160" t="s">
        <v>134</v>
      </c>
      <c r="AE2" s="160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5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7"/>
    <col min="14" max="14" width="4.75" style="87" customWidth="1"/>
    <col min="15" max="16" width="13.25" style="87"/>
    <col min="17" max="17" width="4.75" style="87" customWidth="1"/>
    <col min="18" max="19" width="13.25" style="87"/>
    <col min="20" max="20" width="4.75" style="87" customWidth="1"/>
    <col min="21" max="23" width="13.25" style="87"/>
    <col min="24" max="24" width="4.75" style="87" customWidth="1"/>
    <col min="25" max="27" width="13.25" style="87"/>
    <col min="28" max="28" width="4.75" style="87" customWidth="1"/>
    <col min="29" max="30" width="13.25" style="87"/>
    <col min="31" max="31" width="4.75" style="87" customWidth="1"/>
    <col min="32" max="1023" width="13.25" style="87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7" t="s">
        <v>92</v>
      </c>
      <c r="I1" s="157"/>
      <c r="J1" s="157" t="s">
        <v>93</v>
      </c>
      <c r="K1" s="157"/>
      <c r="L1" s="60"/>
      <c r="M1" s="58" t="s">
        <v>95</v>
      </c>
      <c r="N1" s="9"/>
      <c r="O1" s="19" t="s">
        <v>141</v>
      </c>
      <c r="P1" s="19"/>
      <c r="Q1" s="9"/>
      <c r="R1" s="161" t="s">
        <v>122</v>
      </c>
      <c r="S1" s="161"/>
      <c r="T1" s="9"/>
      <c r="U1" s="58" t="s">
        <v>85</v>
      </c>
      <c r="V1" s="58" t="s">
        <v>86</v>
      </c>
      <c r="W1" s="19"/>
      <c r="X1" s="9"/>
      <c r="Y1" s="163" t="s">
        <v>142</v>
      </c>
      <c r="Z1" s="163"/>
      <c r="AA1" s="163"/>
      <c r="AB1" s="9"/>
      <c r="AC1" s="164" t="s">
        <v>143</v>
      </c>
      <c r="AD1" s="164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2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6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6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6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6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6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6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5"/>
    <col min="7" max="7" width="13.125" style="96"/>
    <col min="8" max="14" width="13.125" style="95"/>
    <col min="15" max="15" width="13.125" style="96"/>
    <col min="16" max="18" width="13.125" style="95"/>
    <col min="19" max="19" width="13.125" style="97"/>
    <col min="20" max="1023" width="13.1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7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5" t="s">
        <v>176</v>
      </c>
      <c r="J1" s="165"/>
      <c r="K1" s="165"/>
      <c r="L1" s="165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9" t="s">
        <v>3</v>
      </c>
      <c r="B14" t="s">
        <v>271</v>
      </c>
      <c r="F14" t="s">
        <v>272</v>
      </c>
    </row>
    <row r="15" spans="1:13" ht="14.4">
      <c r="A15" s="139" t="s">
        <v>273</v>
      </c>
      <c r="B15" t="s">
        <v>274</v>
      </c>
      <c r="F15" t="s">
        <v>275</v>
      </c>
    </row>
    <row r="16" spans="1:13" ht="14.4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2025-08-13T20:00:28Z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