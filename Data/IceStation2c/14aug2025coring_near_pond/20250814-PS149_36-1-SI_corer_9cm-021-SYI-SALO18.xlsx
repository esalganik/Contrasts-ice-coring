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cientists\PS149\11_ICE\Ice Coring\IceStation2c\14aug2025coring_near_pond\"/>
    </mc:Choice>
  </mc:AlternateContent>
  <xr:revisionPtr revIDLastSave="0" documentId="13_ncr:1_{8BFEDD9C-36D9-4CFB-A2CE-EDCD403E57EA}" xr6:coauthVersionLast="47" xr6:coauthVersionMax="47" xr10:uidLastSave="{00000000-0000-0000-0000-000000000000}"/>
  <bookViews>
    <workbookView xWindow="900" yWindow="372" windowWidth="19650" windowHeight="12288" tabRatio="726" firstSheet="1" activeTab="2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<sst xmlns="http://schemas.openxmlformats.org/spreadsheetml/2006/main" count="663" uniqueCount="328">
  <si>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</si>
  <si>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</si>
  <si>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</si>
  <si>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</si>
  <si>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</si>
  <si>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</si>
  <si>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</si>
  <si>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</si>
  <si>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</si>
  <si>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</si>
  <si>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</si>
  <si>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</si>
  <si>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</si>
  <si>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</si>
  <si>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</si>
  <si>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</si>
  <si>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</si>
  <si>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</si>
  <si>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</si>
  <si>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</si>
  <si>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</si>
  <si>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</si>
  <si>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</si>
  <si>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</si>
  <si>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</si>
  <si>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</si>
  <si>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</si>
  <si>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</si>
  <si>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</si>
  <si>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</si>
  <si>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</si>
  <si>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</si>
  <si>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</si>
  <si>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</si>
  <si>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</si>
  <si>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</si>
  <si>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</si>
  <si>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</si>
  <si>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</si>
  <si>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</si>
  <si>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</si>
  <si>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</si>
  <si>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</si>
  <si>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</si>
  <si>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</si>
  <si>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</si>
  <si>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</si>
  <si>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</si>
  <si>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</si>
  <si>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</si>
  <si>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</si>
  <si>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</si>
  <si>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</si>
  <si>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</si>
  <si>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</si>
  <si>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</si>
  <si>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</si>
  <si>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</si>
  <si>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</si>
  <si>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</si>
  <si>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</si>
  <si>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</si>
  <si>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</si>
  <si>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</si>
  <si>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</si>
  <si>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</si>
  <si>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</si>
  <si>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</si>
  <si>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</si>
  <si>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</si>
  <si>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</si>
  <si>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</si>
  <si>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</si>
  <si>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</si>
  <si>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</si>
  <si>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</si>
  <si>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</si>
  <si>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</si>
  <si>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</si>
  <si>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</si>
  <si>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</si>
  <si>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</si>
  <si>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</si>
  <si>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</si>
  <si>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</si>
  <si>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</si>
  <si>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</si>
  <si>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</si>
  <si>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</si>
  <si>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</si>
  <si>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</si>
  <si>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</si>
  <si>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</si>
  <si>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</si>
  <si>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</si>
  <si>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</si>
  <si>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</si>
  <si>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</si>
  <si>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</si>
  <si>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</si>
  <si>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</si>
  <si>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</si>
  <si>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</si>
  <si>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</si>
  <si>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</si>
  <si>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</si>
  <si>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</si>
  <si>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</si>
  <si>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</si>
  <si>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</si>
  <si>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</si>
  <si>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</si>
  <si>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</si>
  <si>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</si>
  <si>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</si>
  <si>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</si>
  <si>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</si>
  <si>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</si>
  <si>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</si>
  <si>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</si>
  <si>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</si>
  <si>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</si>
  <si>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</si>
  <si>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</si>
  <si>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</si>
  <si>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</si>
  <si>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</si>
  <si>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</si>
  <si>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</si>
  <si>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</si>
  <si>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</si>
  <si>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</si>
  <si>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</si>
  <si>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</si>
  <si>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</si>
  <si>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</si>
  <si>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</si>
  <si>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</si>
  <si>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</si>
  <si>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</si>
  <si>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</si>
  <si>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</si>
  <si>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</si>
  <si>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</si>
  <si>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</si>
  <si>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</si>
  <si>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</si>
  <si>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</si>
  <si>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</si>
  <si>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</si>
  <si>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</si>
  <si>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</si>
  <si>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</si>
  <si>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</si>
  <si>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</si>
  <si>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</si>
  <si>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</si>
  <si>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</si>
  <si>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</si>
  <si>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</si>
  <si>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</si>
  <si>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</si>
  <si>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</si>
  <si>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</si>
  <si>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</si>
  <si>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</si>
  <si>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</si>
  <si>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</si>
  <si>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</si>
  <si>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</si>
  <si>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</si>
  <si>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</si>
  <si>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</si>
  <si>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</si>
  <si>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</si>
  <si>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</si>
  <si>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</si>
  <si>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</si>
  <si>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</si>
  <si>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</si>
  <si>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</si>
  <si>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</si>
  <si>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</si>
  <si>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</si>
  <si>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</si>
  <si>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</si>
  <si>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</si>
  <si>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</si>
  <si>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</si>
  <si>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</si>
  <si>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</si>
  <si>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</si>
  <si>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</si>
  <si>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</si>
  <si>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</si>
  <si>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</si>
  <si>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</si>
  <si>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</si>
  <si>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</si>
  <si>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</si>
  <si>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</si>
  <si>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</si>
  <si>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</si>
  <si>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</si>
  <si>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</si>
  <si>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</si>
  <si>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</si>
  <si>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</si>
  <si>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</si>
  <si>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</si>
  <si>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</si>
  <si>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</si>
  <si>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</si>
  <si>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</si>
  <si>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</si>
  <si>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</si>
  <si>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</si>
  <si>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</si>
  <si>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</si>
  <si>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</si>
  <si>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</si>
  <si>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</si>
  <si>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</si>
  <si>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</si>
  <si>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</si>
  <si>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</si>
  <si>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</si>
  <si>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</si>
  <si>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</si>
  <si>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</si>
  <si>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</si>
  <si>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</si>
  <si>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</si>
  <si>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</si>
  <si>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</si>
  <si>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</si>
  <si>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</si>
  <si>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</si>
  <si>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</si>
  <si>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</si>
  <si>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</si>
  <si>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</si>
  <si>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</si>
  <si>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</si>
  <si>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</si>
  <si>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</si>
  <si>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</si>
  <si>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</si>
  <si>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</si>
  <si>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</si>
  <si>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</si>
  <si>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</si>
  <si>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</si>
  <si>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</si>
  <si>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</si>
  <si>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</si>
  <si>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</si>
  <si>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</si>
  <si>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</si>
  <si>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</si>
  <si>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</si>
  <si>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</si>
  <si>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</si>
  <si>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</si>
  <si>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</si>
  <si>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</si>
  <si>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</si>
  <si>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</si>
  <si>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</si>
  <si>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</si>
  <si>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</si>
  <si>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</si>
  <si>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</si>
  <si>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</si>
  <si>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</si>
  <si>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</si>
  <si>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</si>
  <si>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</si>
  <si>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</si>
  <si>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</si>
  <si>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</si>
  <si>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</si>
  <si>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</si>
  <si>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</si>
  <si>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</si>
  <si>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</si>
  <si>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</si>
  <si>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</si>
  <si>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</si>
  <si>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</si>
  <si>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</si>
  <si>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</si>
  <si>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</si>
  <si>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</si>
  <si>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</si>
  <si>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</si>
  <si>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</si>
  <si>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9 cm Kovacs</t>
  </si>
  <si>
    <t xml:space="preserve">T-probe </t>
  </si>
  <si>
    <t>Testo (NPI)</t>
  </si>
  <si>
    <t>section 1</t>
  </si>
  <si>
    <t>some fresh snow on surface</t>
  </si>
  <si>
    <t xml:space="preserve">CONTRATS-PS_149 </t>
  </si>
  <si>
    <t>cut on site</t>
  </si>
  <si>
    <t>PS149-DO18-136</t>
  </si>
  <si>
    <t>conductivity probe 67953, S/N 11440477</t>
  </si>
  <si>
    <t>PS149-2c</t>
  </si>
  <si>
    <t>mark end 343</t>
  </si>
  <si>
    <t>mark start 342</t>
  </si>
  <si>
    <t>with SSL</t>
  </si>
  <si>
    <t>20250814-PS149_36-1-SI_corer_9cm-021-SYI-SALO18</t>
  </si>
  <si>
    <t>Bare ice next to T3pond. Ice suspected to be SYI.</t>
  </si>
  <si>
    <t>Nora Greenwood</t>
  </si>
  <si>
    <t>David Clemens-Sewall</t>
  </si>
  <si>
    <t>Ice Station 2c (event 36-1), quick (10 cm sections) salinity core taken on bare ice adjacent to T3pond (core: 20250813-PS149_36-1-SI_corer_9cm-020-FYI-T3-melt_pond-RHO-TXT) to assess the likelihood that T3pond is SYI.</t>
  </si>
  <si>
    <t>20250813-PS149_36-1-SI_corer_9cm-020-FYI-T3-melt_pond-RHO-TXT</t>
  </si>
  <si>
    <t>section 2</t>
  </si>
  <si>
    <t>A2</t>
  </si>
  <si>
    <t>A3</t>
  </si>
  <si>
    <t>B</t>
  </si>
  <si>
    <t>D</t>
  </si>
  <si>
    <t>F</t>
  </si>
  <si>
    <t>K</t>
  </si>
  <si>
    <t>S4</t>
  </si>
  <si>
    <t>T4X</t>
  </si>
  <si>
    <t>V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</si>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</sst>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9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  <xf numFmtId="0" fontId="1" fillId="0" borderId="0" xfId="0" applyFont="1"/>
    <xf numFmtId="2" fontId="11" fillId="0" borderId="0" xfId="0" applyNumberFormat="1" applyFont="1"/>
    <xf numFmtId="2" fontId="1" fillId="0" borderId="0" xfId="0" applyNumberFormat="1" applyFont="1"/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 SYI Station 2c SALO18 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SALO18!$C$5:$C$29</c:f>
              <c:numCache>
                <c:formatCode>0.00</c:formatCode>
                <c:ptCount val="25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0.64999999999999991</c:v>
                </c:pt>
                <c:pt idx="7">
                  <c:v>0.7649999999999999</c:v>
                </c:pt>
                <c:pt idx="8">
                  <c:v>0.86499999999999999</c:v>
                </c:pt>
                <c:pt idx="9">
                  <c:v>0.95</c:v>
                </c:pt>
                <c:pt idx="10">
                  <c:v>1.05</c:v>
                </c:pt>
                <c:pt idx="11">
                  <c:v>1.165</c:v>
                </c:pt>
                <c:pt idx="12">
                  <c:v>1.3</c:v>
                </c:pt>
              </c:numCache>
            </c:numRef>
          </c:xVal>
          <c:yVal>
            <c:numRef>
              <c:f>SALO18!$E$5:$E$29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0.5</c:v>
                </c:pt>
                <c:pt idx="5">
                  <c:v>1</c:v>
                </c:pt>
                <c:pt idx="6">
                  <c:v>1.3</c:v>
                </c:pt>
                <c:pt idx="7">
                  <c:v>1.2</c:v>
                </c:pt>
                <c:pt idx="8">
                  <c:v>1.7</c:v>
                </c:pt>
                <c:pt idx="9">
                  <c:v>1.1000000000000001</c:v>
                </c:pt>
                <c:pt idx="10">
                  <c:v>1.5</c:v>
                </c:pt>
                <c:pt idx="11">
                  <c:v>1</c:v>
                </c:pt>
                <c:pt idx="12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9F-465C-B501-BD54FDF96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67551"/>
        <c:axId val="267475231"/>
      </c:scatterChart>
      <c:valAx>
        <c:axId val="26746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67475231"/>
        <c:crosses val="autoZero"/>
        <c:crossBetween val="midCat"/>
      </c:valAx>
      <c:valAx>
        <c:axId val="2674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6746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102421</xdr:colOff>
      <xdr:row>6</xdr:row>
      <xdr:rowOff>19835</xdr:rowOff>
    </xdr:from>
    <xdr:to>
      <xdr:col>14</xdr:col>
      <xdr:colOff>19833</xdr:colOff>
      <xdr:row>21</xdr:row>
      <xdr:rowOff>55693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C5C5E-A282-4E82-4C0A-530ACF4F4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topLeftCell="A3" zoomScale="85" zoomScaleNormal="85" workbookViewId="0">
      <selection activeCell="B15" sqref="B15"/>
    </sheetView>
  </sheetViews>
  <sheetFormatPr defaultColWidth="13.5703125" defaultRowHeight="14.25"/>
  <cols>
    <col min="1" max="2" width="13.5703125" style="6"/>
    <col min="3" max="3" width="14.5703125" style="6" bestFit="1" customWidth="1"/>
    <col min="4" max="1025" width="13.5703125" style="6"/>
  </cols>
  <sheetData>
    <row r="1" spans="1:7" ht="15">
      <c r="A1" s="7" t="s">
        <v>0</v>
      </c>
      <c r="B1" s="8" t="s">
        <v>1</v>
      </c>
      <c r="C1" s="143" t="s">
        <v>310</v>
      </c>
      <c r="D1" s="143"/>
      <c r="E1" s="143"/>
      <c r="F1" s="9"/>
    </row>
    <row r="2" spans="1:7" ht="15">
      <c r="A2" s="7" t="s">
        <v>2</v>
      </c>
      <c r="B2" s="8"/>
      <c r="C2" s="10">
        <v>45883</v>
      </c>
      <c r="D2" s="11" t="s">
        <v>3</v>
      </c>
      <c r="E2" s="9"/>
      <c r="F2" s="9"/>
    </row>
    <row r="3" spans="1:7" ht="15">
      <c r="A3" s="7" t="s">
        <v>4</v>
      </c>
      <c r="B3" s="8"/>
      <c r="C3" s="12">
        <v>0.57916666666666672</v>
      </c>
      <c r="D3" s="11" t="s">
        <v>3</v>
      </c>
      <c r="E3" s="9"/>
      <c r="F3" s="9"/>
    </row>
    <row r="4" spans="1:7" ht="15">
      <c r="A4" s="13" t="s">
        <v>5</v>
      </c>
      <c r="B4" s="14" t="s">
        <v>1</v>
      </c>
      <c r="C4" s="143" t="s">
        <v>303</v>
      </c>
      <c r="D4" s="143"/>
      <c r="E4" s="143"/>
      <c r="F4" s="9"/>
    </row>
    <row r="5" spans="1:7">
      <c r="A5" s="9"/>
      <c r="B5" s="9"/>
      <c r="C5" s="9"/>
      <c r="D5" s="9"/>
      <c r="E5" s="9"/>
      <c r="F5" s="9"/>
    </row>
    <row r="6" spans="1:7" ht="15">
      <c r="A6" s="15" t="s">
        <v>6</v>
      </c>
      <c r="B6" s="9"/>
      <c r="C6" s="9"/>
      <c r="D6" s="9"/>
      <c r="E6" s="9"/>
      <c r="F6" s="9"/>
    </row>
    <row r="7" spans="1:7" ht="15">
      <c r="A7" s="7" t="s">
        <v>7</v>
      </c>
      <c r="B7" s="8" t="s">
        <v>8</v>
      </c>
      <c r="C7" s="16">
        <v>1.35</v>
      </c>
      <c r="D7" s="17" t="s">
        <v>9</v>
      </c>
      <c r="E7" s="9"/>
      <c r="F7" s="9"/>
      <c r="G7" s="6" t="s">
        <v>309</v>
      </c>
    </row>
    <row r="8" spans="1:7" ht="15">
      <c r="A8" s="7" t="s">
        <v>10</v>
      </c>
      <c r="B8" s="8" t="s">
        <v>8</v>
      </c>
      <c r="C8" s="16">
        <v>1.1499999999999999</v>
      </c>
      <c r="D8" s="17" t="s">
        <v>9</v>
      </c>
      <c r="E8" s="9"/>
      <c r="F8" s="9"/>
    </row>
    <row r="9" spans="1:7" ht="15">
      <c r="A9" s="7" t="s">
        <v>11</v>
      </c>
      <c r="B9" s="8" t="s">
        <v>8</v>
      </c>
      <c r="C9" s="18"/>
      <c r="D9" s="9"/>
      <c r="E9" s="9"/>
      <c r="F9" s="9"/>
    </row>
    <row r="10" spans="1:7" ht="15">
      <c r="A10" s="7" t="s">
        <v>12</v>
      </c>
      <c r="B10" s="8" t="s">
        <v>8</v>
      </c>
      <c r="C10" s="16">
        <v>1.37</v>
      </c>
      <c r="D10" s="9" t="s">
        <v>13</v>
      </c>
      <c r="E10" s="9"/>
      <c r="F10" s="9"/>
    </row>
    <row r="11" spans="1:7">
      <c r="A11" s="9"/>
      <c r="B11" s="9"/>
      <c r="C11" s="9"/>
      <c r="D11" s="9"/>
      <c r="E11" s="9"/>
      <c r="F11" s="9"/>
    </row>
    <row r="12" spans="1:7" ht="15">
      <c r="A12" s="19" t="s">
        <v>14</v>
      </c>
      <c r="B12" s="19"/>
      <c r="C12" s="19"/>
      <c r="D12" s="19"/>
      <c r="E12" s="19"/>
      <c r="F12" s="19"/>
    </row>
    <row r="13" spans="1:7" ht="15">
      <c r="A13" s="19" t="s">
        <v>15</v>
      </c>
      <c r="B13" s="19"/>
      <c r="C13" s="143" t="s">
        <v>297</v>
      </c>
      <c r="D13" s="143"/>
      <c r="E13" s="143"/>
      <c r="F13" s="143"/>
    </row>
    <row r="14" spans="1:7">
      <c r="B14" s="6" t="s">
        <v>298</v>
      </c>
      <c r="C14" s="6" t="s">
        <v>299</v>
      </c>
      <c r="D14" s="5"/>
      <c r="E14" s="5"/>
      <c r="F14" s="5"/>
    </row>
    <row r="15" spans="1:7">
      <c r="B15" s="6" t="s">
        <v>305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C31" sqref="C31:E31"/>
    </sheetView>
  </sheetViews>
  <sheetFormatPr defaultColWidth="8.85546875" defaultRowHeight="12"/>
  <cols>
    <col min="1" max="1" width="21.42578125" customWidth="1"/>
    <col min="2" max="2" width="12.140625" customWidth="1"/>
    <col min="3" max="5" width="12.5703125" customWidth="1"/>
    <col min="1024" max="1025" width="11.285156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302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311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D8" s="30"/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D9" s="34"/>
      <c r="E9" s="35"/>
      <c r="G9" s="34"/>
      <c r="I9" s="22" t="s">
        <v>308</v>
      </c>
      <c r="J9" s="22" t="s">
        <v>307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5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45883</v>
      </c>
      <c r="D12" s="38">
        <v>45883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>
      <c r="A13" s="36" t="s">
        <v>35</v>
      </c>
      <c r="B13" s="37" t="s">
        <v>36</v>
      </c>
      <c r="C13" s="39">
        <v>0.57916666666666672</v>
      </c>
      <c r="D13" s="39">
        <v>0.59027777777777779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2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>
      <c r="A16" s="36" t="s">
        <v>40</v>
      </c>
      <c r="B16" s="43" t="s">
        <v>8</v>
      </c>
      <c r="C16">
        <v>0.03</v>
      </c>
      <c r="I16" s="22" t="s">
        <v>301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5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>
      <c r="A25" s="36" t="s">
        <v>54</v>
      </c>
      <c r="B25" s="43" t="s">
        <v>55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>
      <c r="A26" s="45" t="s">
        <v>57</v>
      </c>
      <c r="B26" s="46" t="s">
        <v>55</v>
      </c>
      <c r="C26" s="48"/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>
      <c r="A27" s="45" t="s">
        <v>59</v>
      </c>
      <c r="B27" s="46" t="s">
        <v>55</v>
      </c>
      <c r="C27" s="48"/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>
      <c r="A28" s="36" t="s">
        <v>61</v>
      </c>
      <c r="B28" s="43" t="s">
        <v>55</v>
      </c>
      <c r="D28" s="49" t="s">
        <v>62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2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>
      <c r="A30" s="45" t="s">
        <v>64</v>
      </c>
      <c r="B30" s="51"/>
      <c r="C30" s="48" t="s">
        <v>306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4.25">
      <c r="A31" s="45" t="s">
        <v>65</v>
      </c>
      <c r="B31" s="51"/>
      <c r="C31" s="143" t="s">
        <v>315</v>
      </c>
      <c r="D31" s="143"/>
      <c r="E31" s="143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>
      <c r="A32" s="45" t="s">
        <v>66</v>
      </c>
      <c r="B32" s="51"/>
      <c r="C32" t="s">
        <v>313</v>
      </c>
      <c r="D32" t="s">
        <v>312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>
      <c r="A36" s="36" t="s">
        <v>69</v>
      </c>
      <c r="B36" s="54"/>
      <c r="C36">
        <v>5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45" t="s">
        <v>71</v>
      </c>
      <c r="B37" s="51"/>
      <c r="C37" s="48">
        <v>163</v>
      </c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314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6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  <mergeCell ref="C31:E31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G32 C32:E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7"/>
  <sheetViews>
    <sheetView tabSelected="1" zoomScale="85" zoomScaleNormal="85" workbookViewId="0">
      <selection activeCell="D15" sqref="D15"/>
    </sheetView>
  </sheetViews>
  <sheetFormatPr defaultColWidth="10.7109375" defaultRowHeight="14.25"/>
  <cols>
    <col min="1" max="8" width="13.7109375" style="6" customWidth="1"/>
    <col min="9" max="9" width="13.42578125" style="6" customWidth="1"/>
    <col min="10" max="13" width="10.7109375" style="6"/>
    <col min="14" max="14" width="20.7109375" style="6" customWidth="1"/>
    <col min="15" max="1025" width="10.7109375" style="6"/>
  </cols>
  <sheetData>
    <row r="1" spans="1:1024" ht="15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>
        <v>0</v>
      </c>
      <c r="B5" s="167">
        <v>0.1</v>
      </c>
      <c r="C5" s="142">
        <f>(A5+B5)/2</f>
        <v>0.05</v>
      </c>
      <c r="D5" s="6" t="s">
        <v>317</v>
      </c>
      <c r="E5" s="62">
        <v>0</v>
      </c>
      <c r="G5" s="6">
        <v>15.7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>
        <v>0.1</v>
      </c>
      <c r="B6" s="167">
        <v>0.2</v>
      </c>
      <c r="C6" s="168">
        <f t="shared" ref="C6:C17" si="0">(A6+B6)/2</f>
        <v>0.15000000000000002</v>
      </c>
      <c r="D6" s="6" t="s">
        <v>318</v>
      </c>
      <c r="E6" s="62">
        <v>0</v>
      </c>
      <c r="G6" s="6">
        <v>14.7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67">
        <v>0.2</v>
      </c>
      <c r="B7" s="167">
        <v>0.3</v>
      </c>
      <c r="C7" s="168">
        <f t="shared" si="0"/>
        <v>0.25</v>
      </c>
      <c r="D7" s="6" t="s">
        <v>319</v>
      </c>
      <c r="E7" s="62">
        <v>0</v>
      </c>
      <c r="G7" s="6">
        <v>13.7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67">
        <v>0.3</v>
      </c>
      <c r="B8" s="167">
        <v>0.4</v>
      </c>
      <c r="C8" s="168">
        <f t="shared" si="0"/>
        <v>0.35</v>
      </c>
      <c r="D8" s="6" t="s">
        <v>320</v>
      </c>
      <c r="E8" s="62">
        <v>0.3</v>
      </c>
      <c r="G8" s="6">
        <v>14.1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67">
        <v>0.4</v>
      </c>
      <c r="B9" s="167">
        <v>0.5</v>
      </c>
      <c r="C9" s="168">
        <f t="shared" si="0"/>
        <v>0.45</v>
      </c>
      <c r="D9" s="6" t="s">
        <v>31</v>
      </c>
      <c r="E9" s="62">
        <v>0.5</v>
      </c>
      <c r="G9" s="6">
        <v>14.4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67">
        <v>0.5</v>
      </c>
      <c r="B10" s="167">
        <v>0.6</v>
      </c>
      <c r="C10" s="168">
        <f t="shared" si="0"/>
        <v>0.55000000000000004</v>
      </c>
      <c r="D10" s="6" t="s">
        <v>321</v>
      </c>
      <c r="E10" s="62">
        <v>1</v>
      </c>
      <c r="G10" s="6">
        <v>16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67">
        <v>0.6</v>
      </c>
      <c r="B11" s="167">
        <v>0.7</v>
      </c>
      <c r="C11" s="168">
        <f t="shared" si="0"/>
        <v>0.64999999999999991</v>
      </c>
      <c r="D11" s="6" t="s">
        <v>322</v>
      </c>
      <c r="E11" s="62">
        <v>1.3</v>
      </c>
      <c r="G11" s="6">
        <v>16.2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67">
        <v>0.7</v>
      </c>
      <c r="B12" s="167">
        <v>0.83</v>
      </c>
      <c r="C12" s="168">
        <f t="shared" si="0"/>
        <v>0.7649999999999999</v>
      </c>
      <c r="D12" s="6" t="s">
        <v>29</v>
      </c>
      <c r="E12" s="62">
        <v>1.2</v>
      </c>
      <c r="G12" s="6">
        <v>16.7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67">
        <v>0.83</v>
      </c>
      <c r="B13" s="167">
        <v>0.9</v>
      </c>
      <c r="C13" s="168">
        <f t="shared" si="0"/>
        <v>0.86499999999999999</v>
      </c>
      <c r="D13" s="6" t="s">
        <v>323</v>
      </c>
      <c r="E13" s="62">
        <v>1.7</v>
      </c>
      <c r="G13" s="6">
        <v>14.6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67">
        <v>0.9</v>
      </c>
      <c r="B14" s="167">
        <v>1</v>
      </c>
      <c r="C14" s="168">
        <f t="shared" si="0"/>
        <v>0.95</v>
      </c>
      <c r="D14" s="6" t="s">
        <v>324</v>
      </c>
      <c r="E14" s="62">
        <v>1.1000000000000001</v>
      </c>
      <c r="G14" s="6">
        <v>13.8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67">
        <v>1</v>
      </c>
      <c r="B15" s="167">
        <v>1.1000000000000001</v>
      </c>
      <c r="C15" s="168">
        <f t="shared" si="0"/>
        <v>1.05</v>
      </c>
      <c r="D15" s="6" t="s">
        <v>325</v>
      </c>
      <c r="E15" s="62">
        <v>1.5</v>
      </c>
      <c r="G15" s="6">
        <v>13.4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67">
        <v>1.1000000000000001</v>
      </c>
      <c r="B16" s="167">
        <v>1.23</v>
      </c>
      <c r="C16" s="168">
        <f t="shared" si="0"/>
        <v>1.165</v>
      </c>
      <c r="D16" s="6" t="s">
        <v>326</v>
      </c>
      <c r="E16" s="62">
        <v>1</v>
      </c>
      <c r="G16" s="6">
        <v>13.3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67">
        <v>1.23</v>
      </c>
      <c r="B17" s="141">
        <v>1.37</v>
      </c>
      <c r="C17" s="168">
        <f t="shared" si="0"/>
        <v>1.3</v>
      </c>
      <c r="D17" s="6" t="s">
        <v>327</v>
      </c>
      <c r="E17" s="62">
        <v>0.9</v>
      </c>
      <c r="G17" s="6">
        <v>15.4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67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1"/>
      <c r="B19" s="141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1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1"/>
      <c r="B21" s="141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1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1"/>
      <c r="B23" s="141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1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1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1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1"/>
      <c r="B27" s="141"/>
      <c r="C27" s="142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1"/>
      <c r="B28" s="142"/>
      <c r="C28" s="142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1"/>
      <c r="B29" s="141"/>
      <c r="C29" s="142"/>
      <c r="E29" s="62"/>
      <c r="I29" s="6" t="s">
        <v>304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>
      <c r="D47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A21"/>
    </sheetView>
  </sheetViews>
  <sheetFormatPr defaultColWidth="8.85546875" defaultRowHeight="12"/>
  <cols>
    <col min="1" max="1" width="19.42578125" customWidth="1"/>
    <col min="2" max="5" width="13.7109375" customWidth="1"/>
  </cols>
  <sheetData>
    <row r="1" spans="1:26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4" t="s">
        <v>95</v>
      </c>
      <c r="D2" s="154"/>
      <c r="E2" s="154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5" t="s">
        <v>1</v>
      </c>
      <c r="D3" s="155"/>
      <c r="E3" s="15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75">
      <c r="A4" s="70"/>
      <c r="B4" s="70"/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>
      <c r="A5" s="70"/>
      <c r="B5" s="70"/>
      <c r="C5" s="153"/>
      <c r="D5" s="153"/>
      <c r="E5" s="15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>
      <c r="A6" s="70"/>
      <c r="B6" s="70"/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>
      <c r="A7" s="70"/>
      <c r="B7" s="70"/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>
      <c r="A8" s="70"/>
      <c r="B8" s="70"/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>
      <c r="A9" s="70"/>
      <c r="B9" s="70"/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>
      <c r="A10" s="70"/>
      <c r="B10" s="70"/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>
      <c r="A11" s="70"/>
      <c r="B11" s="70"/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70"/>
      <c r="B12" s="70"/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>
      <c r="A13" s="70"/>
      <c r="B13" s="70"/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>
      <c r="A14" s="70"/>
      <c r="B14" s="70"/>
      <c r="C14" s="153"/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>
      <c r="A15" s="70"/>
      <c r="B15" s="70"/>
      <c r="C15" s="153"/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>
      <c r="A16" s="70"/>
      <c r="B16" s="70"/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>
      <c r="A17" s="70"/>
      <c r="B17" s="70"/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>
      <c r="A18" s="70"/>
      <c r="B18" s="70"/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>
      <c r="A19" s="70"/>
      <c r="B19" s="70"/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>
      <c r="A20" s="70"/>
      <c r="B20" s="70"/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>
      <c r="A21" s="70"/>
      <c r="B21" s="70"/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>
      <c r="A22" s="70"/>
      <c r="B22" s="70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>
      <c r="A23" s="70"/>
      <c r="B23" s="70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>
      <c r="A24" s="70"/>
      <c r="B24" s="70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>
      <c r="A25" s="70"/>
      <c r="B25" s="70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>
      <c r="A26" s="70"/>
      <c r="B26" s="70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>
      <c r="A27" s="70"/>
      <c r="B27" s="70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>
      <c r="A28" s="70"/>
      <c r="B28" s="70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>
      <c r="A29" s="70"/>
      <c r="B29" s="70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>
      <c r="A30" s="70"/>
      <c r="B30" s="70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>
      <c r="A31" s="70"/>
      <c r="B31" s="70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>
      <c r="A32" s="70"/>
      <c r="B32" s="70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>
      <c r="A33" s="70"/>
      <c r="B33" s="70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>
      <c r="A34" s="70"/>
      <c r="B34" s="70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>
      <c r="A35" s="70"/>
      <c r="B35" s="70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>
      <c r="A36" s="70"/>
      <c r="B36" s="70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>
      <c r="A37" s="70"/>
      <c r="B37" s="70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>
      <c r="A38" s="70"/>
      <c r="B38" s="70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>
      <c r="A39" s="70"/>
      <c r="B39" s="70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A8" sqref="A8"/>
    </sheetView>
  </sheetViews>
  <sheetFormatPr defaultColWidth="10.7109375" defaultRowHeight="14.25"/>
  <cols>
    <col min="1" max="5" width="13.7109375" style="6" customWidth="1"/>
    <col min="6" max="6" width="26.7109375" style="6" customWidth="1"/>
    <col min="7" max="1025" width="10.7109375" style="6"/>
  </cols>
  <sheetData>
    <row r="1" spans="1:26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8" t="s">
        <v>106</v>
      </c>
      <c r="E3" s="158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1.05</v>
      </c>
      <c r="D4" s="156"/>
      <c r="E4" s="156"/>
      <c r="F4" s="6" t="s">
        <v>300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0.2</v>
      </c>
      <c r="D5" s="156" t="s">
        <v>181</v>
      </c>
      <c r="E5" s="15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C6" s="6">
        <v>0.83</v>
      </c>
      <c r="D6" s="156" t="s">
        <v>181</v>
      </c>
      <c r="E6" s="1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1.05</v>
      </c>
      <c r="B7" s="6">
        <v>1.37</v>
      </c>
      <c r="C7"/>
      <c r="D7" s="156"/>
      <c r="E7" s="156"/>
      <c r="F7" s="166" t="s">
        <v>316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5546875" defaultRowHeight="14.25"/>
  <cols>
    <col min="1" max="1" width="13.5703125" style="6" customWidth="1"/>
    <col min="2" max="2" width="11.85546875" style="6" customWidth="1"/>
    <col min="3" max="3" width="11.42578125" style="6" customWidth="1"/>
    <col min="4" max="5" width="8.85546875" style="6"/>
    <col min="6" max="32" width="10" style="6" customWidth="1"/>
    <col min="33" max="1025" width="8.85546875" style="6"/>
  </cols>
  <sheetData>
    <row r="1" spans="1:39" ht="15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30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40625" defaultRowHeight="14.25"/>
  <cols>
    <col min="1" max="2" width="12.28515625" style="85" customWidth="1"/>
    <col min="3" max="13" width="12.28515625" style="6" customWidth="1"/>
    <col min="14" max="1023" width="9.140625" style="6"/>
  </cols>
  <sheetData>
    <row r="1" spans="1:26" ht="15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5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8515625" defaultRowHeight="14.25"/>
  <cols>
    <col min="1" max="13" width="13.28515625" style="87"/>
    <col min="14" max="14" width="4.7109375" style="87" customWidth="1"/>
    <col min="15" max="16" width="13.28515625" style="87"/>
    <col min="17" max="17" width="4.7109375" style="87" customWidth="1"/>
    <col min="18" max="19" width="13.28515625" style="87"/>
    <col min="20" max="20" width="4.7109375" style="87" customWidth="1"/>
    <col min="21" max="23" width="13.28515625" style="87"/>
    <col min="24" max="24" width="4.7109375" style="87" customWidth="1"/>
    <col min="25" max="27" width="13.28515625" style="87"/>
    <col min="28" max="28" width="4.7109375" style="87" customWidth="1"/>
    <col min="29" max="30" width="13.28515625" style="87"/>
    <col min="31" max="31" width="4.7109375" style="87" customWidth="1"/>
    <col min="32" max="1023" width="13.28515625" style="87"/>
    <col min="1024" max="1025" width="13.285156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5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5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5546875" defaultRowHeight="12"/>
  <cols>
    <col min="1" max="1" width="15.42578125" customWidth="1"/>
    <col min="2" max="2" width="13.85546875" customWidth="1"/>
    <col min="3" max="3" width="15" customWidth="1"/>
    <col min="4" max="4" width="13.7109375" customWidth="1"/>
    <col min="5" max="5" width="14.85546875" customWidth="1"/>
    <col min="6" max="6" width="11" customWidth="1"/>
    <col min="7" max="7" width="10.5703125" customWidth="1"/>
    <col min="8" max="8" width="11.85546875" customWidth="1"/>
    <col min="1015" max="1025" width="9.140625" customWidth="1"/>
  </cols>
  <sheetData>
    <row r="1" spans="1:26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75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75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75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75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75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75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40625" defaultRowHeight="12"/>
  <cols>
    <col min="1" max="6" width="13.140625" style="95"/>
    <col min="7" max="7" width="13.140625" style="96"/>
    <col min="8" max="14" width="13.140625" style="95"/>
    <col min="15" max="15" width="13.140625" style="96"/>
    <col min="16" max="18" width="13.140625" style="95"/>
    <col min="19" max="19" width="13.140625" style="97"/>
    <col min="20" max="1023" width="13.1406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65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109375" defaultRowHeight="12"/>
  <cols>
    <col min="1" max="1" width="27" customWidth="1"/>
    <col min="2" max="2" width="50.28515625" customWidth="1"/>
    <col min="3" max="3" width="15.28515625" customWidth="1"/>
    <col min="4" max="4" width="30.28515625" customWidth="1"/>
    <col min="5" max="5" width="14.85546875" customWidth="1"/>
    <col min="6" max="6" width="26" customWidth="1"/>
    <col min="7" max="7" width="14.42578125" customWidth="1"/>
    <col min="8" max="8" width="12.42578125" customWidth="1"/>
    <col min="13" max="13" width="11.5703125" customWidth="1"/>
  </cols>
  <sheetData>
    <row r="1" spans="1:13" ht="15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5" t="s">
        <v>176</v>
      </c>
      <c r="J1" s="165"/>
      <c r="K1" s="165"/>
      <c r="L1" s="165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5">
      <c r="A14" s="139" t="s">
        <v>3</v>
      </c>
      <c r="B14" t="s">
        <v>271</v>
      </c>
      <c r="F14" t="s">
        <v>272</v>
      </c>
    </row>
    <row r="15" spans="1:13" ht="15">
      <c r="A15" s="139" t="s">
        <v>273</v>
      </c>
      <c r="B15" t="s">
        <v>274</v>
      </c>
      <c r="F15" t="s">
        <v>275</v>
      </c>
    </row>
    <row r="16" spans="1:13" ht="15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David Clemens-Sewall</cp:lastModifiedBy>
  <cp:revision>284</cp:revision>
  <dcterms:created xsi:type="dcterms:W3CDTF">2014-01-23T22:52:05Z</dcterms:created>
  <dcterms:modified xsi:type="dcterms:W3CDTF">2025-08-15T20:58:04Z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