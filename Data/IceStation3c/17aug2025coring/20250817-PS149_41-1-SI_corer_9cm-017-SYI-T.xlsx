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c\17aug2025coring\"/>
    </mc:Choice>
  </mc:AlternateContent>
  <xr:revisionPtr revIDLastSave="0" documentId="13_ncr:1_{661F3B7E-8E33-4357-B316-8D234B38B13B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5" i="5" l="1"/>
</calcChain>
</file>

<file path=xl/sharedStrings.xml><?xml version="1.0" encoding="utf-8"?>
<sst xmlns="http://schemas.openxmlformats.org/spreadsheetml/2006/main" count="655" uniqueCount="322">
  <si>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</si>
  <si>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</si>
  <si>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</si>
  <si>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</si>
  <si>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</si>
  <si>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</si>
  <si>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</si>
  <si>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</si>
  <si>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</si>
  <si>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</si>
  <si>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</si>
  <si>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</si>
  <si>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</si>
  <si>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</si>
  <si>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</si>
  <si>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</si>
  <si>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</si>
  <si>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</si>
  <si>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</si>
  <si>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</si>
  <si>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</si>
  <si>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</si>
  <si>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</si>
  <si>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</si>
  <si>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</si>
  <si>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</si>
  <si>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</si>
  <si>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</si>
  <si>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</si>
  <si>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</si>
  <si>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</si>
  <si>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</si>
  <si>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</si>
  <si>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</si>
  <si>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</si>
  <si>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</si>
  <si>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</si>
  <si>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</si>
  <si>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</si>
  <si>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</si>
  <si>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</si>
  <si>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</si>
  <si>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</si>
  <si>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</si>
  <si>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</si>
  <si>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</si>
  <si>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</si>
  <si>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</si>
  <si>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</si>
  <si>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</si>
  <si>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</si>
  <si>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</si>
  <si>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</si>
  <si>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</si>
  <si>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</si>
  <si>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</si>
  <si>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</si>
  <si>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</si>
  <si>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</si>
  <si>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</si>
  <si>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</si>
  <si>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</si>
  <si>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</si>
  <si>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</si>
  <si>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</si>
  <si>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</si>
  <si>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</si>
  <si>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</si>
  <si>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</si>
  <si>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</si>
  <si>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</si>
  <si>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</si>
  <si>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</si>
  <si>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</si>
  <si>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</si>
  <si>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</si>
  <si>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</si>
  <si>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</si>
  <si>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</si>
  <si>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</si>
  <si>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</si>
  <si>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</si>
  <si>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</si>
  <si>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</si>
  <si>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</si>
  <si>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</si>
  <si>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</si>
  <si>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</si>
  <si>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</si>
  <si>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</si>
  <si>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</si>
  <si>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</si>
  <si>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</si>
  <si>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</si>
  <si>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</si>
  <si>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</si>
  <si>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</si>
  <si>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</si>
  <si>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</si>
  <si>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</si>
  <si>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</si>
  <si>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</si>
  <si>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</si>
  <si>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</si>
  <si>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</si>
  <si>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</si>
  <si>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</si>
  <si>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</si>
  <si>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</si>
  <si>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</si>
  <si>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</si>
  <si>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</si>
  <si>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</si>
  <si>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</si>
  <si>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</si>
  <si>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</si>
  <si>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</si>
  <si>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</si>
  <si>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</si>
  <si>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</si>
  <si>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</si>
  <si>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</si>
  <si>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</si>
  <si>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</si>
  <si>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</si>
  <si>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</si>
  <si>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</si>
  <si>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</si>
  <si>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</si>
  <si>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</si>
  <si>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</si>
  <si>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</si>
  <si>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</si>
  <si>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</si>
  <si>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</si>
  <si>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</si>
  <si>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</si>
  <si>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</si>
  <si>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</si>
  <si>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</si>
  <si>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</si>
  <si>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</si>
  <si>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</si>
  <si>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</si>
  <si>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</si>
  <si>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</si>
  <si>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</si>
  <si>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</si>
  <si>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</si>
  <si>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</si>
  <si>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</si>
  <si>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</si>
  <si>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</si>
  <si>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</si>
  <si>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</si>
  <si>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</si>
  <si>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</si>
  <si>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</si>
  <si>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</si>
  <si>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</si>
  <si>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</si>
  <si>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</si>
  <si>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</si>
  <si>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</si>
  <si>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</si>
  <si>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</si>
  <si>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</si>
  <si>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</si>
  <si>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</si>
  <si>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</si>
  <si>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</si>
  <si>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</si>
  <si>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</si>
  <si>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</si>
  <si>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</si>
  <si>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</si>
  <si>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</si>
  <si>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</si>
  <si>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</si>
  <si>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</si>
  <si>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</si>
  <si>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</si>
  <si>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</si>
  <si>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</si>
  <si>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</si>
  <si>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</si>
  <si>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</si>
  <si>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</si>
  <si>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</si>
  <si>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</si>
  <si>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</si>
  <si>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</si>
  <si>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</si>
  <si>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</si>
  <si>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</si>
  <si>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</si>
  <si>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</si>
  <si>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</si>
  <si>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</si>
  <si>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</si>
  <si>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</si>
  <si>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</si>
  <si>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</si>
  <si>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</si>
  <si>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</si>
  <si>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</si>
  <si>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</si>
  <si>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</si>
  <si>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</si>
  <si>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</si>
  <si>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</si>
  <si>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</si>
  <si>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</si>
  <si>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</si>
  <si>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</si>
  <si>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</si>
  <si>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</si>
  <si>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</si>
  <si>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</si>
  <si>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</si>
  <si>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</si>
  <si>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</si>
  <si>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</si>
  <si>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</si>
  <si>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</si>
  <si>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</si>
  <si>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</si>
  <si>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</si>
  <si>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</si>
  <si>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</si>
  <si>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</si>
  <si>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</si>
  <si>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</si>
  <si>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</si>
  <si>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</si>
  <si>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</si>
  <si>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</si>
  <si>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</si>
  <si>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</si>
  <si>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</si>
  <si>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</si>
  <si>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</si>
  <si>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</si>
  <si>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</si>
  <si>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</si>
  <si>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</si>
  <si>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</si>
  <si>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</si>
  <si>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</si>
  <si>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</si>
  <si>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</si>
  <si>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</si>
  <si>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</si>
  <si>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</si>
  <si>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</si>
  <si>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</si>
  <si>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</si>
  <si>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</si>
  <si>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</si>
  <si>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</si>
  <si>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</si>
  <si>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</si>
  <si>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</si>
  <si>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</si>
  <si>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</si>
  <si>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</si>
  <si>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</si>
  <si>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</si>
  <si>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</si>
  <si>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</si>
  <si>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</si>
  <si>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</si>
  <si>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</si>
  <si>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</si>
  <si>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</si>
  <si>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</si>
  <si>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</si>
  <si>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</si>
  <si>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</si>
  <si>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</si>
  <si>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</si>
  <si>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</si>
  <si>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</si>
  <si>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</si>
  <si>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</si>
  <si>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</si>
  <si>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</si>
  <si>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</si>
  <si>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</si>
  <si>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</si>
  <si>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</si>
  <si>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</si>
  <si>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</si>
  <si>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</si>
  <si>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</si>
  <si>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</si>
  <si>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</si>
  <si>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</si>
  <si>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</si>
  <si>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</si>
  <si>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</si>
  <si>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</si>
  <si>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</si>
  <si>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</si>
  <si>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</si>
  <si>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</si>
  <si>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</si>
  <si>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</si>
  <si>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</si>
  <si>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</si>
  <si>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</si>
  <si>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</si>
  <si>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 xml:space="preserve">Cond 3110 S/N 11440477; the same as the one used for other SALO18 cores of the PS149. </t>
  </si>
  <si>
    <t>PS149-3c</t>
  </si>
  <si>
    <t>mark start 348</t>
  </si>
  <si>
    <t>forgot to mark the end</t>
  </si>
  <si>
    <t>analyzed on site, packed as REP core 20250817-PS149_41-1-SI_corer_9cm-018-SYI-REP for archiving</t>
  </si>
  <si>
    <t>20250817-PS149_41-1-SI_corer_9cm-017-SYI-T</t>
  </si>
  <si>
    <t>20250817-PS149_41-1-SI_corer_9cm-016-SYI-SALO18</t>
  </si>
  <si>
    <t>20250817-PS149_41-1-SI_corer_9cm-018-SYI-REP</t>
  </si>
  <si>
    <t>20250817-PS149_41-1-SI_corer_9cm-019-SYI-RHO</t>
  </si>
  <si>
    <t>Ice Station 3c (event 41-1), coring on the main coring site.  The ice floe is a SYI or older, typical thickness 1.8 m and even thicker on the first visit. Coring site on level ice some 80 m away of the ship and a few meters  away of the second coring spot; direction off the ship/main road. Thickness of the ice is about 1.5-1.6 m. Snow/scatter on surface some 2-3 cm thick. Surface is dry and frozen again after the night. The ponds that were expanding on second visit are now drained. Snow/scatter on surface some 2-3 cm thick. Surface is dry and frozen again after the night. The ponds that were expanding on the second visit are now drained. Only older ponds from the prevous summer(s) stays.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</si>
</sst>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16" sqref="C16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317</v>
      </c>
      <c r="D1" s="143"/>
      <c r="E1" s="143"/>
      <c r="F1" s="9"/>
    </row>
    <row r="2" spans="1:6" ht="14.4">
      <c r="A2" s="7" t="s">
        <v>2</v>
      </c>
      <c r="B2" s="8"/>
      <c r="C2" s="10">
        <v>45886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0.36805555555555558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316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1.58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1.4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1.55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312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19" zoomScale="85" zoomScaleNormal="85" workbookViewId="0">
      <selection activeCell="J41" sqref="J41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306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82</v>
      </c>
      <c r="D8" s="30">
        <v>58.109699999999997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48.741799999999998</v>
      </c>
      <c r="E9" s="35"/>
      <c r="G9" s="34"/>
      <c r="I9" s="22" t="s">
        <v>314</v>
      </c>
      <c r="J9" s="22" t="s">
        <v>315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45886</v>
      </c>
      <c r="D12" s="38">
        <v>45886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0.36805555555555558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0.02</v>
      </c>
      <c r="F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0.3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-0.1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>
        <v>-1.2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318</v>
      </c>
      <c r="D31" s="52" t="s">
        <v>317</v>
      </c>
      <c r="E31" s="52" t="s">
        <v>319</v>
      </c>
      <c r="F31" s="52" t="s">
        <v>320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321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G15" sqref="G1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/>
      <c r="B5" s="140"/>
      <c r="C5" s="14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/>
      <c r="B6" s="141"/>
      <c r="C6" s="141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/>
      <c r="B7" s="140"/>
      <c r="C7" s="141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/>
      <c r="B8" s="141"/>
      <c r="C8" s="141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/>
      <c r="B9" s="140"/>
      <c r="C9" s="141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/>
      <c r="B10" s="141"/>
      <c r="C10" s="141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/>
      <c r="B11" s="140"/>
      <c r="C11" s="141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/>
      <c r="B12" s="141"/>
      <c r="C12" s="141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/>
      <c r="B13" s="140"/>
      <c r="C13" s="141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/>
      <c r="B14" s="141"/>
      <c r="C14" s="141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/>
      <c r="B15" s="140"/>
      <c r="C15" s="141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/>
      <c r="B16" s="141"/>
      <c r="C16" s="141"/>
      <c r="E16" s="62"/>
      <c r="M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/>
      <c r="B17" s="140"/>
      <c r="C17" s="141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/>
      <c r="B18" s="141"/>
      <c r="C18" s="141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/>
      <c r="B19" s="140"/>
      <c r="C19" s="141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/>
      <c r="B20" s="141"/>
      <c r="C20" s="141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/>
      <c r="B21" s="140"/>
      <c r="C21" s="141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/>
      <c r="B22" s="141"/>
      <c r="C22" s="141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/>
      <c r="B23" s="141"/>
      <c r="C23" s="141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/>
      <c r="B24" s="141"/>
      <c r="C24" s="141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/>
      <c r="B25" s="141"/>
      <c r="C25" s="141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/>
      <c r="B26" s="141"/>
      <c r="C26" s="141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/>
      <c r="B27" s="141"/>
      <c r="C27" s="141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/>
      <c r="B28" s="141"/>
      <c r="C28" s="141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/>
      <c r="B29" s="141"/>
      <c r="C29" s="141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/>
      <c r="B30" s="141"/>
      <c r="C30" s="141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/>
      <c r="B31" s="141"/>
      <c r="C31" s="141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/>
      <c r="B32" s="141"/>
      <c r="C32" s="141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/>
      <c r="B33" s="141"/>
      <c r="C33" s="141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/>
      <c r="B34" s="141"/>
      <c r="C34" s="141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/>
      <c r="B35" s="141"/>
      <c r="C35" s="141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B11" sqref="B1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>
        <v>0</v>
      </c>
      <c r="B4" s="69">
        <v>-0.1</v>
      </c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>
        <v>2.5000000000000001E-2</v>
      </c>
      <c r="B5" s="69">
        <v>-0.1</v>
      </c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>
        <v>0.1</v>
      </c>
      <c r="B6" s="69">
        <v>-0.2</v>
      </c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>
        <v>0.2</v>
      </c>
      <c r="B7" s="69">
        <v>-0.1</v>
      </c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>
        <v>0.3</v>
      </c>
      <c r="B8" s="69">
        <v>-0.1</v>
      </c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>
        <v>0.4</v>
      </c>
      <c r="B9" s="69">
        <v>-0.3</v>
      </c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>
        <v>0.5</v>
      </c>
      <c r="B10" s="69">
        <v>-0.3</v>
      </c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>
        <v>0.6</v>
      </c>
      <c r="B11" s="69">
        <v>-0.5</v>
      </c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>
        <v>0.7</v>
      </c>
      <c r="B12" s="69">
        <v>-0.6</v>
      </c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>
        <v>0.8</v>
      </c>
      <c r="B13" s="69">
        <v>-0.7</v>
      </c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>
        <v>0.9</v>
      </c>
      <c r="B14" s="69">
        <v>-0.7</v>
      </c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>
        <v>1</v>
      </c>
      <c r="B15" s="69">
        <v>-0.7</v>
      </c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>
        <v>1.1000000000000001</v>
      </c>
      <c r="B16" s="69">
        <v>-0.7</v>
      </c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>
        <v>1.2</v>
      </c>
      <c r="B17" s="69">
        <v>-0.8</v>
      </c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>
        <v>1.3</v>
      </c>
      <c r="B18" s="69">
        <v>-0.8</v>
      </c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>
        <v>1.4</v>
      </c>
      <c r="B19" s="69">
        <v>-1.1000000000000001</v>
      </c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>
        <v>1.5</v>
      </c>
      <c r="B20" s="69">
        <v>-1.1000000000000001</v>
      </c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>
        <v>1.53</v>
      </c>
      <c r="B21" s="69">
        <v>-1.3</v>
      </c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C10" sqref="C10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0.95</v>
      </c>
      <c r="D4" s="156"/>
      <c r="E4" s="156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0.95</v>
      </c>
      <c r="B5" s="6">
        <f>A5+0.6</f>
        <v>1.5499999999999998</v>
      </c>
      <c r="D5" s="156"/>
      <c r="E5" s="156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0.19</v>
      </c>
      <c r="D6" s="156" t="s">
        <v>181</v>
      </c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6"/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F8" sqref="F8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2025-08-21T14:56:10Z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