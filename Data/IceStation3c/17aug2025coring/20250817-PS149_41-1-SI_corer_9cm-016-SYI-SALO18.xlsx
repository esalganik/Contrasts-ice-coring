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c\17aug2025coring\"/>
    </mc:Choice>
  </mc:AlternateContent>
  <xr:revisionPtr revIDLastSave="0" documentId="13_ncr:1_{67E1088E-3F7F-4DBE-9340-810C96C8A38D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5" i="3" l="1"/>
  <c r="C34" i="3"/>
  <c r="C33" i="3"/>
  <c r="B5" i="5"/>
  <c r="C25" i="3"/>
  <c r="C26" i="3"/>
  <c r="C27" i="3"/>
  <c r="C28" i="3"/>
  <c r="C29" i="3"/>
  <c r="C30" i="3"/>
  <c r="C31" i="3"/>
  <c r="C32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<sst xmlns="http://schemas.openxmlformats.org/spreadsheetml/2006/main" count="750" uniqueCount="386">
  <si>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</si>
  <si>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</si>
  <si>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</si>
  <si>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</si>
  <si>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</si>
  <si>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</si>
  <si>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</si>
  <si>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</si>
  <si>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</si>
  <si>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</si>
  <si>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</si>
  <si>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</si>
  <si>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</si>
  <si>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</si>
  <si>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</si>
  <si>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</si>
  <si>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</si>
  <si>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</si>
  <si>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</si>
  <si>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</si>
  <si>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</si>
  <si>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</si>
  <si>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</si>
  <si>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</si>
  <si>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</si>
  <si>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</si>
  <si>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</si>
  <si>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</si>
  <si>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</si>
  <si>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</si>
  <si>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</si>
  <si>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</si>
  <si>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</si>
  <si>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</si>
  <si>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</si>
  <si>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</si>
  <si>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</si>
  <si>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</si>
  <si>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</si>
  <si>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</si>
  <si>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</si>
  <si>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</si>
  <si>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</si>
  <si>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</si>
  <si>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</si>
  <si>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</si>
  <si>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</si>
  <si>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</si>
  <si>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</si>
  <si>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</si>
  <si>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</si>
  <si>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</si>
  <si>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</si>
  <si>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</si>
  <si>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</si>
  <si>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</si>
  <si>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</si>
  <si>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</si>
  <si>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</si>
  <si>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</si>
  <si>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</si>
  <si>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</si>
  <si>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</si>
  <si>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</si>
  <si>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</si>
  <si>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</si>
  <si>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</si>
  <si>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</si>
  <si>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</si>
  <si>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</si>
  <si>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</si>
  <si>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</si>
  <si>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</si>
  <si>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</si>
  <si>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</si>
  <si>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</si>
  <si>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</si>
  <si>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</si>
  <si>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</si>
  <si>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</si>
  <si>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</si>
  <si>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</si>
  <si>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</si>
  <si>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</si>
  <si>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</si>
  <si>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</si>
  <si>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</si>
  <si>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</si>
  <si>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</si>
  <si>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</si>
  <si>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</si>
  <si>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</si>
  <si>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</si>
  <si>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</si>
  <si>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</si>
  <si>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</si>
  <si>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</si>
  <si>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</si>
  <si>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</si>
  <si>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</si>
  <si>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</si>
  <si>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</si>
  <si>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</si>
  <si>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</si>
  <si>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</si>
  <si>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</si>
  <si>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</si>
  <si>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</si>
  <si>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</si>
  <si>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</si>
  <si>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</si>
  <si>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</si>
  <si>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</si>
  <si>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</si>
  <si>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</si>
  <si>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</si>
  <si>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</si>
  <si>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</si>
  <si>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</si>
  <si>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</si>
  <si>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</si>
  <si>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</si>
  <si>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</si>
  <si>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</si>
  <si>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</si>
  <si>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</si>
  <si>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</si>
  <si>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</si>
  <si>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</si>
  <si>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</si>
  <si>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</si>
  <si>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</si>
  <si>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</si>
  <si>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</si>
  <si>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</si>
  <si>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</si>
  <si>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</si>
  <si>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</si>
  <si>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</si>
  <si>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</si>
  <si>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</si>
  <si>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</si>
  <si>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</si>
  <si>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</si>
  <si>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</si>
  <si>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</si>
  <si>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</si>
  <si>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</si>
  <si>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</si>
  <si>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</si>
  <si>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</si>
  <si>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</si>
  <si>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</si>
  <si>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</si>
  <si>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</si>
  <si>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</si>
  <si>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</si>
  <si>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</si>
  <si>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</si>
  <si>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</si>
  <si>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</si>
  <si>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</si>
  <si>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</si>
  <si>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</si>
  <si>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</si>
  <si>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</si>
  <si>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</si>
  <si>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</si>
  <si>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</si>
  <si>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</si>
  <si>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</si>
  <si>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</si>
  <si>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</si>
  <si>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</si>
  <si>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</si>
  <si>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</si>
  <si>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</si>
  <si>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</si>
  <si>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</si>
  <si>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</si>
  <si>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</si>
  <si>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</si>
  <si>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</si>
  <si>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</si>
  <si>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</si>
  <si>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</si>
  <si>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</si>
  <si>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</si>
  <si>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</si>
  <si>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</si>
  <si>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</si>
  <si>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</si>
  <si>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</si>
  <si>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</si>
  <si>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</si>
  <si>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</si>
  <si>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</si>
  <si>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</si>
  <si>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</si>
  <si>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</si>
  <si>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</si>
  <si>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</si>
  <si>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</si>
  <si>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</si>
  <si>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</si>
  <si>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</si>
  <si>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</si>
  <si>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</si>
  <si>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</si>
  <si>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</si>
  <si>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</si>
  <si>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</si>
  <si>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</si>
  <si>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</si>
  <si>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</si>
  <si>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</si>
  <si>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</si>
  <si>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</si>
  <si>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</si>
  <si>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</si>
  <si>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</si>
  <si>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</si>
  <si>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</si>
  <si>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</si>
  <si>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</si>
  <si>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</si>
  <si>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</si>
  <si>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</si>
  <si>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</si>
  <si>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</si>
  <si>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</si>
  <si>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</si>
  <si>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</si>
  <si>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</si>
  <si>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</si>
  <si>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</si>
  <si>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</si>
  <si>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</si>
  <si>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</si>
  <si>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</si>
  <si>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</si>
  <si>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</si>
  <si>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</si>
  <si>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</si>
  <si>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</si>
  <si>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</si>
  <si>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</si>
  <si>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</si>
  <si>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</si>
  <si>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</si>
  <si>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</si>
  <si>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</si>
  <si>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</si>
  <si>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</si>
  <si>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</si>
  <si>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</si>
  <si>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</si>
  <si>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</si>
  <si>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</si>
  <si>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</si>
  <si>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</si>
  <si>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</si>
  <si>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</si>
  <si>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</si>
  <si>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</si>
  <si>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</si>
  <si>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</si>
  <si>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</si>
  <si>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</si>
  <si>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</si>
  <si>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</si>
  <si>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</si>
  <si>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</si>
  <si>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</si>
  <si>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</si>
  <si>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</si>
  <si>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</si>
  <si>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</si>
  <si>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</si>
  <si>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</si>
  <si>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</si>
  <si>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</si>
  <si>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</si>
  <si>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</si>
  <si>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</si>
  <si>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</si>
  <si>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</si>
  <si>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</si>
  <si>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</si>
  <si>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</si>
  <si>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</si>
  <si>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</si>
  <si>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</si>
  <si>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</si>
  <si>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</si>
  <si>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</si>
  <si>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</si>
  <si>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</si>
  <si>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</si>
  <si>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</si>
  <si>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</si>
  <si>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</si>
  <si>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</si>
  <si>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</si>
  <si>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</si>
  <si>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</si>
  <si>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</si>
  <si>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</si>
  <si>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</si>
  <si>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</si>
  <si>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</si>
  <si>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</si>
  <si>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</si>
  <si>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</si>
  <si>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</si>
  <si>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</si>
  <si>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</si>
  <si>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</si>
  <si>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</si>
  <si>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</si>
  <si>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</si>
  <si>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</si>
  <si>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</si>
  <si>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</si>
  <si>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</si>
  <si>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</si>
  <si>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Z01</t>
  </si>
  <si>
    <t>Z02</t>
  </si>
  <si>
    <t>Z03</t>
  </si>
  <si>
    <t>Z04</t>
  </si>
  <si>
    <t>section 1</t>
  </si>
  <si>
    <t>section 2</t>
  </si>
  <si>
    <t xml:space="preserve">Cond 3110 S/N 11440477; the same as the one used for other SALO18 cores of the PS149. </t>
  </si>
  <si>
    <t>cut on site</t>
  </si>
  <si>
    <t>PS149-3c</t>
  </si>
  <si>
    <t>mark start 348</t>
  </si>
  <si>
    <t>forgot to mark the end</t>
  </si>
  <si>
    <t>large bubbles; white</t>
  </si>
  <si>
    <t>sec1 ends, sec2 starts</t>
  </si>
  <si>
    <t>Z05</t>
  </si>
  <si>
    <t>Z06</t>
  </si>
  <si>
    <t>Z07</t>
  </si>
  <si>
    <t>Z08</t>
  </si>
  <si>
    <t>Z09</t>
  </si>
  <si>
    <t>Z10</t>
  </si>
  <si>
    <t>Z11</t>
  </si>
  <si>
    <t>odd</t>
  </si>
  <si>
    <t>Z12</t>
  </si>
  <si>
    <t>Z13</t>
  </si>
  <si>
    <t>Z14</t>
  </si>
  <si>
    <t>PS149-DO18-205</t>
  </si>
  <si>
    <t>PS149-DO18-210</t>
  </si>
  <si>
    <t>PS149-DO18-215</t>
  </si>
  <si>
    <t>PS149-DO18-220</t>
  </si>
  <si>
    <t>PS149-DO18-225</t>
  </si>
  <si>
    <t>PS149-DO18-230</t>
  </si>
  <si>
    <t>PS149-DO18-235</t>
  </si>
  <si>
    <t>PS149-DO18-206</t>
  </si>
  <si>
    <t>PS149-DO18-207</t>
  </si>
  <si>
    <t>PS149-DO18-208</t>
  </si>
  <si>
    <t>PS149-DO18-209</t>
  </si>
  <si>
    <t>PS149-DO18-211</t>
  </si>
  <si>
    <t>PS149-DO18-212</t>
  </si>
  <si>
    <t>PS149-DO18-213</t>
  </si>
  <si>
    <t>PS149-DO18-214</t>
  </si>
  <si>
    <t>PS149-DO18-216</t>
  </si>
  <si>
    <t>PS149-DO18-217</t>
  </si>
  <si>
    <t>PS149-DO18-218</t>
  </si>
  <si>
    <t>PS149-DO18-219</t>
  </si>
  <si>
    <t>PS149-DO18-221</t>
  </si>
  <si>
    <t>PS149-DO18-222</t>
  </si>
  <si>
    <t>PS149-DO18-223</t>
  </si>
  <si>
    <t>PS149-DO18-224</t>
  </si>
  <si>
    <t>PS149-DO18-226</t>
  </si>
  <si>
    <t>PS149-DO18-227</t>
  </si>
  <si>
    <t>PS149-DO18-228</t>
  </si>
  <si>
    <t>PS149-DO18-229</t>
  </si>
  <si>
    <t>PS149-DO18-231</t>
  </si>
  <si>
    <t>PS149-DO18-232</t>
  </si>
  <si>
    <t>PS149-DO18-233</t>
  </si>
  <si>
    <t>PS149-DO18-234</t>
  </si>
  <si>
    <t>20250817-PS149_41-1-SI_corer_9cm-016-SYI-SALO18</t>
  </si>
  <si>
    <t>Ice Station 3c (event 41-1), coring on the main coring site.  The ice floe is a SYI or older, typical thickness 1.8 m and even thicker on the first visit. Coring site on level ice some 80 m away of the ship and a few meters  away of the second coring spot; direction off the ship/main road. Thickness of the ice is about 1.5-1.6 m. Snow/scatter on surface some 2-3 cm thick. Surface is dry and frozen again after the night. The ponds that were expanding on the second visit are now drained. Only older ponds from the prevous summer(s) stays.</t>
  </si>
  <si>
    <t>20250817-PS149_41-1-SI_corer_9cm-017-SYI-T</t>
  </si>
  <si>
    <t>20250817-PS149_41-1-SI_corer_9cm-018-SYI-REP</t>
  </si>
  <si>
    <t>20250817-PS149_41-1-SI_corer_9cm-019-SYI-RHO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</si>
</sst>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profile SYI Station 3b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SALO18!$C$5:$C$39</c:f>
              <c:numCache>
                <c:formatCode>0.00</c:formatCode>
                <c:ptCount val="3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1.385</c:v>
                </c:pt>
                <c:pt idx="28">
                  <c:v>1.4449999999999998</c:v>
                </c:pt>
                <c:pt idx="29">
                  <c:v>1.4950000000000001</c:v>
                </c:pt>
                <c:pt idx="30">
                  <c:v>1.5449999999999999</c:v>
                </c:pt>
              </c:numCache>
            </c:numRef>
          </c:xVal>
          <c:yVal>
            <c:numRef>
              <c:f>SALO18!$E$5:$E$39</c:f>
              <c:numCache>
                <c:formatCode>General</c:formatCode>
                <c:ptCount val="35"/>
                <c:pt idx="0">
                  <c:v>0.3</c:v>
                </c:pt>
                <c:pt idx="1">
                  <c:v>0.3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0.3</c:v>
                </c:pt>
                <c:pt idx="9">
                  <c:v>0.6</c:v>
                </c:pt>
                <c:pt idx="10">
                  <c:v>0.8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1.5</c:v>
                </c:pt>
                <c:pt idx="14">
                  <c:v>1.8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1.6</c:v>
                </c:pt>
                <c:pt idx="19">
                  <c:v>1.6</c:v>
                </c:pt>
                <c:pt idx="20">
                  <c:v>1.8</c:v>
                </c:pt>
                <c:pt idx="21">
                  <c:v>1.9</c:v>
                </c:pt>
                <c:pt idx="22">
                  <c:v>1.6</c:v>
                </c:pt>
                <c:pt idx="23">
                  <c:v>1.6</c:v>
                </c:pt>
                <c:pt idx="24">
                  <c:v>2</c:v>
                </c:pt>
                <c:pt idx="25">
                  <c:v>2.1</c:v>
                </c:pt>
                <c:pt idx="26">
                  <c:v>2.2999999999999998</c:v>
                </c:pt>
                <c:pt idx="27">
                  <c:v>2.4</c:v>
                </c:pt>
                <c:pt idx="28">
                  <c:v>2.5</c:v>
                </c:pt>
                <c:pt idx="29">
                  <c:v>2.2000000000000002</c:v>
                </c:pt>
                <c:pt idx="30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8E-4BF8-8433-BEF12F3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004303"/>
        <c:axId val="1593994703"/>
      </c:scatterChart>
      <c:valAx>
        <c:axId val="159400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93994703"/>
        <c:crosses val="autoZero"/>
        <c:crossBetween val="midCat"/>
      </c:valAx>
      <c:valAx>
        <c:axId val="159399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9400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89646</xdr:colOff>
      <xdr:row>6</xdr:row>
      <xdr:rowOff>89647</xdr:rowOff>
    </xdr:from>
    <xdr:to>
      <xdr:col>21</xdr:col>
      <xdr:colOff>80682</xdr:colOff>
      <xdr:row>21</xdr:row>
      <xdr:rowOff>143435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9C991-0541-09B1-DE35-B901D2BF9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H6" sqref="H6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3" t="s">
        <v>381</v>
      </c>
      <c r="D1" s="143"/>
      <c r="E1" s="143"/>
      <c r="F1" s="9"/>
    </row>
    <row r="2" spans="1:6" ht="14.4">
      <c r="A2" s="7" t="s">
        <v>2</v>
      </c>
      <c r="B2" s="8"/>
      <c r="C2" s="10">
        <v>45886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0.36805555555555558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3" t="s">
        <v>333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1.57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1.4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1.57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332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zoomScale="85" zoomScaleNormal="85" workbookViewId="0">
      <selection activeCell="C31" sqref="C31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297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306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82</v>
      </c>
      <c r="D8" s="30">
        <v>58.109699999999997</v>
      </c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48.741799999999998</v>
      </c>
      <c r="E9" s="35"/>
      <c r="G9" s="34"/>
      <c r="I9" s="22" t="s">
        <v>335</v>
      </c>
      <c r="J9" s="22" t="s">
        <v>336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45886</v>
      </c>
      <c r="D12" s="38">
        <v>45886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0.36805555555555558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0.02</v>
      </c>
      <c r="D16">
        <v>0.03</v>
      </c>
      <c r="E16">
        <v>0.02</v>
      </c>
      <c r="F16">
        <v>0.03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0.3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-0.1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-1.4</v>
      </c>
      <c r="D28" s="49" t="s">
        <v>62</v>
      </c>
      <c r="E28" s="49"/>
      <c r="F28" s="22">
        <v>-1.2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334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381</v>
      </c>
      <c r="D31" s="52" t="s">
        <v>383</v>
      </c>
      <c r="E31" s="52" t="s">
        <v>384</v>
      </c>
      <c r="F31" s="52" t="s">
        <v>385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7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382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opLeftCell="A7" zoomScale="85" zoomScaleNormal="85" workbookViewId="0">
      <selection activeCell="L29" sqref="L29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>
        <v>0</v>
      </c>
      <c r="B5" s="140">
        <v>0.05</v>
      </c>
      <c r="C5" s="141">
        <f>AVERAGE(A5:B5)</f>
        <v>2.5000000000000001E-2</v>
      </c>
      <c r="D5" s="6" t="s">
        <v>310</v>
      </c>
      <c r="E5" s="6">
        <v>0.3</v>
      </c>
      <c r="F5" s="6">
        <v>0.79500000000000004</v>
      </c>
      <c r="G5" s="6">
        <v>21.1</v>
      </c>
      <c r="I5" s="6" t="s">
        <v>350</v>
      </c>
      <c r="K5" s="6" t="s">
        <v>350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>
        <v>0.05</v>
      </c>
      <c r="B6" s="141">
        <v>0.1</v>
      </c>
      <c r="C6" s="141">
        <f t="shared" ref="C6:C35" si="0">AVERAGE(A6:B6)</f>
        <v>7.5000000000000011E-2</v>
      </c>
      <c r="D6" s="6" t="s">
        <v>311</v>
      </c>
      <c r="E6" s="62">
        <v>0.3</v>
      </c>
      <c r="F6" s="6">
        <v>0.69099999999999995</v>
      </c>
      <c r="G6" s="6">
        <v>19.899999999999999</v>
      </c>
      <c r="I6" s="6" t="s">
        <v>357</v>
      </c>
      <c r="K6" s="6" t="s">
        <v>357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>
        <v>0.1</v>
      </c>
      <c r="B7" s="140">
        <v>0.15</v>
      </c>
      <c r="C7" s="141">
        <f t="shared" si="0"/>
        <v>0.125</v>
      </c>
      <c r="D7" s="6" t="s">
        <v>312</v>
      </c>
      <c r="E7" s="62">
        <v>0.1</v>
      </c>
      <c r="F7" s="6">
        <v>0.39600000000000002</v>
      </c>
      <c r="G7" s="6">
        <v>20.399999999999999</v>
      </c>
      <c r="I7" s="6" t="s">
        <v>358</v>
      </c>
      <c r="K7" s="6" t="s">
        <v>358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>
        <v>0.15</v>
      </c>
      <c r="B8" s="141">
        <v>0.2</v>
      </c>
      <c r="C8" s="141">
        <f t="shared" si="0"/>
        <v>0.17499999999999999</v>
      </c>
      <c r="D8" s="6" t="s">
        <v>313</v>
      </c>
      <c r="E8" s="62">
        <v>0</v>
      </c>
      <c r="F8" s="6">
        <v>0.222</v>
      </c>
      <c r="G8" s="6">
        <v>20.6</v>
      </c>
      <c r="I8" s="6" t="s">
        <v>359</v>
      </c>
      <c r="K8" s="6" t="s">
        <v>359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>
        <v>0.2</v>
      </c>
      <c r="B9" s="140">
        <v>0.25</v>
      </c>
      <c r="C9" s="141">
        <f t="shared" si="0"/>
        <v>0.22500000000000001</v>
      </c>
      <c r="D9" s="6" t="s">
        <v>314</v>
      </c>
      <c r="E9" s="62">
        <v>0</v>
      </c>
      <c r="F9" s="6">
        <v>0.16539999999999999</v>
      </c>
      <c r="G9" s="6">
        <v>20.399999999999999</v>
      </c>
      <c r="I9" s="6" t="s">
        <v>360</v>
      </c>
      <c r="K9" s="6" t="s">
        <v>360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>
        <v>0.25</v>
      </c>
      <c r="B10" s="141">
        <v>0.3</v>
      </c>
      <c r="C10" s="141">
        <f t="shared" si="0"/>
        <v>0.27500000000000002</v>
      </c>
      <c r="D10" s="6" t="s">
        <v>315</v>
      </c>
      <c r="E10" s="62">
        <v>0</v>
      </c>
      <c r="F10" s="6">
        <v>9.1499999999999998E-2</v>
      </c>
      <c r="G10" s="6">
        <v>20.399999999999999</v>
      </c>
      <c r="I10" s="6" t="s">
        <v>351</v>
      </c>
      <c r="K10" s="6" t="s">
        <v>351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>
        <v>0.3</v>
      </c>
      <c r="B11" s="140">
        <v>0.35</v>
      </c>
      <c r="C11" s="141">
        <f t="shared" si="0"/>
        <v>0.32499999999999996</v>
      </c>
      <c r="D11" s="6" t="s">
        <v>316</v>
      </c>
      <c r="E11" s="62">
        <v>0</v>
      </c>
      <c r="F11" s="6">
        <v>0.14760000000000001</v>
      </c>
      <c r="G11" s="6">
        <v>20.100000000000001</v>
      </c>
      <c r="I11" s="6" t="s">
        <v>361</v>
      </c>
      <c r="K11" s="6" t="s">
        <v>361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>
        <v>0.35</v>
      </c>
      <c r="B12" s="141">
        <v>0.4</v>
      </c>
      <c r="C12" s="141">
        <f t="shared" si="0"/>
        <v>0.375</v>
      </c>
      <c r="D12" s="6" t="s">
        <v>317</v>
      </c>
      <c r="E12" s="62">
        <v>0.1</v>
      </c>
      <c r="F12" s="6">
        <v>0.40899999999999997</v>
      </c>
      <c r="G12" s="6">
        <v>19.899999999999999</v>
      </c>
      <c r="I12" s="6" t="s">
        <v>362</v>
      </c>
      <c r="K12" s="6" t="s">
        <v>362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>
        <v>0.4</v>
      </c>
      <c r="B13" s="140">
        <v>0.45</v>
      </c>
      <c r="C13" s="141">
        <f t="shared" si="0"/>
        <v>0.42500000000000004</v>
      </c>
      <c r="D13" s="6" t="s">
        <v>318</v>
      </c>
      <c r="E13" s="62">
        <v>0.3</v>
      </c>
      <c r="F13" s="6">
        <v>0.79300000000000004</v>
      </c>
      <c r="G13" s="6">
        <v>20.399999999999999</v>
      </c>
      <c r="I13" s="6" t="s">
        <v>363</v>
      </c>
      <c r="K13" s="6" t="s">
        <v>363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>
        <v>0.45</v>
      </c>
      <c r="B14" s="141">
        <v>0.5</v>
      </c>
      <c r="C14" s="141">
        <f t="shared" si="0"/>
        <v>0.47499999999999998</v>
      </c>
      <c r="D14" s="6" t="s">
        <v>319</v>
      </c>
      <c r="E14" s="62">
        <v>0.6</v>
      </c>
      <c r="F14" s="6">
        <v>1.2330000000000001</v>
      </c>
      <c r="G14" s="6">
        <v>20.100000000000001</v>
      </c>
      <c r="I14" s="6" t="s">
        <v>364</v>
      </c>
      <c r="K14" s="6" t="s">
        <v>364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>
        <v>0.5</v>
      </c>
      <c r="B15" s="140">
        <v>0.55000000000000004</v>
      </c>
      <c r="C15" s="141">
        <f t="shared" si="0"/>
        <v>0.52500000000000002</v>
      </c>
      <c r="D15" s="6" t="s">
        <v>320</v>
      </c>
      <c r="E15" s="62">
        <v>0.8</v>
      </c>
      <c r="F15" s="6">
        <v>1.573</v>
      </c>
      <c r="G15" s="6">
        <v>20.399999999999999</v>
      </c>
      <c r="I15" s="6" t="s">
        <v>352</v>
      </c>
      <c r="K15" s="6" t="s">
        <v>352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>
        <v>0.55000000000000004</v>
      </c>
      <c r="B16" s="141">
        <v>0.6</v>
      </c>
      <c r="C16" s="141">
        <f t="shared" si="0"/>
        <v>0.57499999999999996</v>
      </c>
      <c r="D16" s="6" t="s">
        <v>321</v>
      </c>
      <c r="E16" s="62">
        <v>1.1000000000000001</v>
      </c>
      <c r="F16" s="6">
        <v>2.2200000000000002</v>
      </c>
      <c r="G16" s="6">
        <v>19.899999999999999</v>
      </c>
      <c r="I16" s="6" t="s">
        <v>365</v>
      </c>
      <c r="K16" s="6" t="s">
        <v>365</v>
      </c>
      <c r="M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>
        <v>0.6</v>
      </c>
      <c r="B17" s="140">
        <v>0.65</v>
      </c>
      <c r="C17" s="141">
        <f t="shared" si="0"/>
        <v>0.625</v>
      </c>
      <c r="D17" s="6" t="s">
        <v>322</v>
      </c>
      <c r="E17" s="62">
        <v>1.2</v>
      </c>
      <c r="F17" s="6">
        <v>2.42</v>
      </c>
      <c r="G17" s="6">
        <v>20.7</v>
      </c>
      <c r="I17" s="6" t="s">
        <v>366</v>
      </c>
      <c r="K17" s="6" t="s">
        <v>366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>
        <v>0.65</v>
      </c>
      <c r="B18" s="141">
        <v>0.7</v>
      </c>
      <c r="C18" s="141">
        <f t="shared" si="0"/>
        <v>0.67500000000000004</v>
      </c>
      <c r="D18" s="6" t="s">
        <v>323</v>
      </c>
      <c r="E18" s="62">
        <v>1.5</v>
      </c>
      <c r="F18" s="6">
        <v>2.85</v>
      </c>
      <c r="G18" s="6">
        <v>20.100000000000001</v>
      </c>
      <c r="I18" s="6" t="s">
        <v>367</v>
      </c>
      <c r="K18" s="6" t="s">
        <v>367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>
        <v>0.7</v>
      </c>
      <c r="B19" s="140">
        <v>0.75</v>
      </c>
      <c r="C19" s="141">
        <f t="shared" si="0"/>
        <v>0.72499999999999998</v>
      </c>
      <c r="D19" s="6" t="s">
        <v>324</v>
      </c>
      <c r="E19" s="62">
        <v>1.8</v>
      </c>
      <c r="F19" s="6">
        <v>3.43</v>
      </c>
      <c r="G19" s="6">
        <v>20.3</v>
      </c>
      <c r="I19" s="6" t="s">
        <v>368</v>
      </c>
      <c r="K19" s="6" t="s">
        <v>368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>
        <v>0.75</v>
      </c>
      <c r="B20" s="141">
        <v>0.8</v>
      </c>
      <c r="C20" s="141">
        <f t="shared" si="0"/>
        <v>0.77500000000000002</v>
      </c>
      <c r="D20" s="6" t="s">
        <v>325</v>
      </c>
      <c r="E20" s="62">
        <v>1.7</v>
      </c>
      <c r="F20" s="6">
        <v>3.21</v>
      </c>
      <c r="G20" s="6">
        <v>20.100000000000001</v>
      </c>
      <c r="I20" s="6" t="s">
        <v>353</v>
      </c>
      <c r="K20" s="6" t="s">
        <v>353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>
        <v>0.8</v>
      </c>
      <c r="B21" s="140">
        <v>0.85</v>
      </c>
      <c r="C21" s="141">
        <f t="shared" si="0"/>
        <v>0.82499999999999996</v>
      </c>
      <c r="D21" s="6" t="s">
        <v>326</v>
      </c>
      <c r="E21" s="62">
        <v>1.8</v>
      </c>
      <c r="F21" s="6">
        <v>3.47</v>
      </c>
      <c r="G21" s="6">
        <v>19.899999999999999</v>
      </c>
      <c r="I21" s="6" t="s">
        <v>369</v>
      </c>
      <c r="K21" s="6" t="s">
        <v>369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>
        <v>0.85</v>
      </c>
      <c r="B22" s="141">
        <v>0.9</v>
      </c>
      <c r="C22" s="141">
        <f t="shared" si="0"/>
        <v>0.875</v>
      </c>
      <c r="D22" s="6" t="s">
        <v>327</v>
      </c>
      <c r="E22" s="62">
        <v>1.9</v>
      </c>
      <c r="F22" s="6">
        <v>3.66</v>
      </c>
      <c r="G22" s="6">
        <v>20.100000000000001</v>
      </c>
      <c r="I22" s="6" t="s">
        <v>370</v>
      </c>
      <c r="K22" s="6" t="s">
        <v>370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>
        <v>0.9</v>
      </c>
      <c r="B23" s="141">
        <v>0.95</v>
      </c>
      <c r="C23" s="141">
        <f t="shared" si="0"/>
        <v>0.92500000000000004</v>
      </c>
      <c r="D23" s="6" t="s">
        <v>328</v>
      </c>
      <c r="E23" s="62">
        <v>1.6</v>
      </c>
      <c r="F23" s="6">
        <v>3.17</v>
      </c>
      <c r="G23" s="6">
        <v>20.100000000000001</v>
      </c>
      <c r="I23" s="6" t="s">
        <v>371</v>
      </c>
      <c r="K23" s="6" t="s">
        <v>371</v>
      </c>
      <c r="N23" s="6" t="s">
        <v>338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>
        <v>0.95</v>
      </c>
      <c r="B24" s="141">
        <v>1</v>
      </c>
      <c r="C24" s="141">
        <f t="shared" si="0"/>
        <v>0.97499999999999998</v>
      </c>
      <c r="D24" s="6" t="s">
        <v>329</v>
      </c>
      <c r="E24" s="62">
        <v>1.6</v>
      </c>
      <c r="F24" s="6">
        <v>3.03</v>
      </c>
      <c r="G24" s="6">
        <v>19.899999999999999</v>
      </c>
      <c r="I24" s="6" t="s">
        <v>372</v>
      </c>
      <c r="K24" s="6" t="s">
        <v>372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0">
        <v>1</v>
      </c>
      <c r="B25" s="140">
        <v>1.05</v>
      </c>
      <c r="C25" s="141">
        <f t="shared" si="0"/>
        <v>1.0249999999999999</v>
      </c>
      <c r="D25" s="6" t="s">
        <v>339</v>
      </c>
      <c r="E25" s="62">
        <v>1.8</v>
      </c>
      <c r="F25" s="6">
        <v>3.42</v>
      </c>
      <c r="G25" s="6">
        <v>19.899999999999999</v>
      </c>
      <c r="I25" s="6" t="s">
        <v>354</v>
      </c>
      <c r="K25" s="6" t="s">
        <v>354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0">
        <v>1.05</v>
      </c>
      <c r="B26" s="141">
        <v>1.1000000000000001</v>
      </c>
      <c r="C26" s="141">
        <f t="shared" si="0"/>
        <v>1.0750000000000002</v>
      </c>
      <c r="D26" s="6" t="s">
        <v>340</v>
      </c>
      <c r="E26" s="62">
        <v>1.9</v>
      </c>
      <c r="F26" s="6">
        <v>3.57</v>
      </c>
      <c r="G26" s="6">
        <v>20.9</v>
      </c>
      <c r="I26" s="6" t="s">
        <v>373</v>
      </c>
      <c r="K26" s="6" t="s">
        <v>373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0">
        <v>1.1000000000000001</v>
      </c>
      <c r="B27" s="140">
        <v>1.1499999999999999</v>
      </c>
      <c r="C27" s="141">
        <f t="shared" si="0"/>
        <v>1.125</v>
      </c>
      <c r="D27" s="6" t="s">
        <v>341</v>
      </c>
      <c r="E27" s="62">
        <v>1.6</v>
      </c>
      <c r="F27" s="6">
        <v>3.1</v>
      </c>
      <c r="G27" s="6">
        <v>20.399999999999999</v>
      </c>
      <c r="I27" s="6" t="s">
        <v>374</v>
      </c>
      <c r="K27" s="6" t="s">
        <v>374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0">
        <v>1.1499999999999999</v>
      </c>
      <c r="B28" s="141">
        <v>1.2</v>
      </c>
      <c r="C28" s="141">
        <f t="shared" si="0"/>
        <v>1.1749999999999998</v>
      </c>
      <c r="D28" s="6" t="s">
        <v>342</v>
      </c>
      <c r="E28" s="62">
        <v>1.6</v>
      </c>
      <c r="F28" s="6">
        <v>3.05</v>
      </c>
      <c r="G28" s="6">
        <v>20.399999999999999</v>
      </c>
      <c r="I28" s="6" t="s">
        <v>375</v>
      </c>
      <c r="K28" s="6" t="s">
        <v>375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0">
        <v>1.2</v>
      </c>
      <c r="B29" s="140">
        <v>1.25</v>
      </c>
      <c r="C29" s="141">
        <f t="shared" si="0"/>
        <v>1.2250000000000001</v>
      </c>
      <c r="D29" s="6" t="s">
        <v>343</v>
      </c>
      <c r="E29" s="62">
        <v>2</v>
      </c>
      <c r="F29" s="6">
        <v>3.78</v>
      </c>
      <c r="G29" s="6">
        <v>20.3</v>
      </c>
      <c r="I29" s="6" t="s">
        <v>376</v>
      </c>
      <c r="K29" s="6" t="s">
        <v>376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>
        <v>1.25</v>
      </c>
      <c r="B30" s="141">
        <v>1.3</v>
      </c>
      <c r="C30" s="141">
        <f t="shared" si="0"/>
        <v>1.2749999999999999</v>
      </c>
      <c r="D30" s="6" t="s">
        <v>344</v>
      </c>
      <c r="E30" s="62">
        <v>2.1</v>
      </c>
      <c r="F30" s="6">
        <v>4.0599999999999996</v>
      </c>
      <c r="G30" s="6">
        <v>20.7</v>
      </c>
      <c r="I30" s="6" t="s">
        <v>355</v>
      </c>
      <c r="K30" s="6" t="s">
        <v>355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>
        <v>1.3</v>
      </c>
      <c r="B31" s="141">
        <v>1.35</v>
      </c>
      <c r="C31" s="141">
        <f t="shared" si="0"/>
        <v>1.3250000000000002</v>
      </c>
      <c r="D31" s="6" t="s">
        <v>345</v>
      </c>
      <c r="E31" s="62">
        <v>2.2999999999999998</v>
      </c>
      <c r="F31" s="6">
        <v>4.3</v>
      </c>
      <c r="G31" s="6">
        <v>20.8</v>
      </c>
      <c r="I31" s="6" t="s">
        <v>377</v>
      </c>
      <c r="K31" s="6" t="s">
        <v>377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2">
        <v>1.35</v>
      </c>
      <c r="B32" s="141">
        <v>1.42</v>
      </c>
      <c r="C32" s="141">
        <f t="shared" si="0"/>
        <v>1.385</v>
      </c>
      <c r="D32" s="6" t="s">
        <v>346</v>
      </c>
      <c r="E32" s="62">
        <v>2.4</v>
      </c>
      <c r="F32" s="6">
        <v>4.51</v>
      </c>
      <c r="G32" s="6">
        <v>20.6</v>
      </c>
      <c r="I32" s="6" t="s">
        <v>378</v>
      </c>
      <c r="K32" s="6" t="s">
        <v>378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0">
        <v>1.42</v>
      </c>
      <c r="B33" s="140">
        <v>1.47</v>
      </c>
      <c r="C33" s="141">
        <f t="shared" si="0"/>
        <v>1.4449999999999998</v>
      </c>
      <c r="D33" s="6" t="s">
        <v>347</v>
      </c>
      <c r="E33" s="62">
        <v>2.5</v>
      </c>
      <c r="F33" s="6">
        <v>4.74</v>
      </c>
      <c r="G33" s="6">
        <v>21</v>
      </c>
      <c r="I33" s="6" t="s">
        <v>379</v>
      </c>
      <c r="K33" s="6" t="s">
        <v>379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0">
        <v>1.47</v>
      </c>
      <c r="B34" s="141">
        <v>1.52</v>
      </c>
      <c r="C34" s="141">
        <f t="shared" si="0"/>
        <v>1.4950000000000001</v>
      </c>
      <c r="D34" s="6" t="s">
        <v>348</v>
      </c>
      <c r="E34" s="62">
        <v>2.2000000000000002</v>
      </c>
      <c r="F34" s="6">
        <v>4.1900000000000004</v>
      </c>
      <c r="G34" s="6">
        <v>20.6</v>
      </c>
      <c r="I34" s="6" t="s">
        <v>380</v>
      </c>
      <c r="K34" s="6" t="s">
        <v>380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0">
        <v>1.52</v>
      </c>
      <c r="B35" s="140">
        <v>1.57</v>
      </c>
      <c r="C35" s="141">
        <f t="shared" si="0"/>
        <v>1.5449999999999999</v>
      </c>
      <c r="D35" s="6" t="s">
        <v>349</v>
      </c>
      <c r="E35" s="62">
        <v>2.2999999999999998</v>
      </c>
      <c r="F35" s="6">
        <v>4.3600000000000003</v>
      </c>
      <c r="G35" s="6">
        <v>20.7</v>
      </c>
      <c r="I35" s="6" t="s">
        <v>356</v>
      </c>
      <c r="K35" s="6" t="s">
        <v>356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0"/>
      <c r="B36" s="141"/>
      <c r="C36" s="141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C37" s="141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C38" s="141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C39" s="141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I19" sqref="I19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4" t="s">
        <v>95</v>
      </c>
      <c r="D2" s="154"/>
      <c r="E2" s="154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5" t="s">
        <v>1</v>
      </c>
      <c r="D3" s="155"/>
      <c r="E3" s="15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/>
      <c r="B4" s="69"/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/>
      <c r="B5" s="69"/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/>
      <c r="B6" s="69"/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/>
      <c r="B7" s="69"/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/>
      <c r="B8" s="69"/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/>
      <c r="B9" s="69"/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/>
      <c r="B10" s="69"/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/>
      <c r="B11" s="69"/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/>
      <c r="B12" s="69"/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/>
      <c r="B13" s="69"/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/>
      <c r="B14" s="69"/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69"/>
      <c r="B15" s="69"/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/>
      <c r="B16" s="69"/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/>
      <c r="B17" s="69"/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/>
      <c r="B18" s="69"/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/>
      <c r="B19" s="69"/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/>
      <c r="B20" s="69"/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/>
      <c r="B21" s="69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/>
      <c r="B22" s="69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/>
      <c r="B23" s="69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B6" sqref="B6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8" t="s">
        <v>106</v>
      </c>
      <c r="E3" s="158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0.93</v>
      </c>
      <c r="D4" s="156"/>
      <c r="E4" s="156"/>
      <c r="F4" s="6" t="s">
        <v>330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0.93</v>
      </c>
      <c r="B5" s="6">
        <f>A5+0.64</f>
        <v>1.57</v>
      </c>
      <c r="D5" s="156"/>
      <c r="E5" s="156"/>
      <c r="F5" s="6" t="s">
        <v>331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</v>
      </c>
      <c r="B6" s="6">
        <v>0.24</v>
      </c>
      <c r="D6" s="156" t="s">
        <v>259</v>
      </c>
      <c r="E6" s="156"/>
      <c r="F6" s="6" t="s">
        <v>337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6"/>
      <c r="E7" s="156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F8" sqref="F8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2025-08-21T14:55:16Z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