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3c\17aug2025coring_melt_ponds\"/>
    </mc:Choice>
  </mc:AlternateContent>
  <xr:revisionPtr revIDLastSave="0" documentId="13_ncr:1_{236611DB-E3AC-465C-A495-193EE73A66A2}"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B5" i="5" l="1"/>
  <c r="G11" i="7"/>
  <c r="G23" i="7"/>
  <c r="G10" i="7"/>
  <c r="G9" i="7"/>
  <c r="G8" i="7"/>
  <c r="G24" i="7"/>
  <c r="G21" i="7"/>
  <c r="G20" i="7"/>
  <c r="G19" i="7"/>
  <c r="G18" i="7"/>
  <c r="G17" i="7"/>
  <c r="G16" i="7"/>
  <c r="G15" i="7"/>
  <c r="G14" i="7"/>
  <c r="G13" i="7"/>
  <c r="G7" i="7"/>
  <c r="G6" i="7"/>
  <c r="G5" i="7"/>
  <c r="G4" i="7"/>
  <c r="A22" i="7"/>
  <c r="C21" i="7"/>
  <c r="C20" i="7"/>
  <c r="C19" i="7"/>
  <c r="C18" i="7"/>
  <c r="C17" i="7"/>
  <c r="C16" i="7"/>
  <c r="C15" i="7"/>
  <c r="C14" i="7"/>
  <c r="C13" i="7"/>
  <c r="C12" i="7"/>
  <c r="C11" i="7"/>
  <c r="C10" i="7"/>
  <c r="C9" i="7"/>
  <c r="C8" i="7"/>
  <c r="C7" i="7"/>
  <c r="C6" i="7"/>
  <c r="C5" i="7"/>
  <c r="C4" i="7"/>
  <c r="C25" i="3"/>
  <c r="C24" i="3"/>
  <c r="C23" i="3"/>
  <c r="B25" i="3"/>
  <c r="A25" i="3"/>
  <c r="B24" i="3"/>
  <c r="A24" i="3"/>
  <c r="B23" i="3"/>
  <c r="A23" i="3"/>
  <c r="C10" i="1"/>
  <c r="C22" i="3"/>
  <c r="C21" i="3"/>
  <c r="C20" i="3"/>
  <c r="C19" i="3"/>
  <c r="C18" i="3"/>
  <c r="C17" i="3"/>
  <c r="C16" i="3"/>
  <c r="C15" i="3"/>
  <c r="C14" i="3"/>
  <c r="C13" i="3"/>
  <c r="C12" i="3"/>
  <c r="C11" i="3"/>
  <c r="C10" i="3"/>
  <c r="C9" i="3"/>
  <c r="C8" i="3"/>
  <c r="C7" i="3"/>
  <c r="C6" i="3"/>
  <c r="C5" i="3"/>
  <c r="B22" i="7" l="1"/>
  <c r="A23" i="7" s="1"/>
  <c r="B23" i="7" l="1"/>
  <c r="A24" i="7" s="1"/>
  <c r="C22" i="7"/>
  <c r="B24" i="7" l="1"/>
  <c r="C24" i="7" s="1"/>
  <c r="C23" i="7"/>
</calcChain>
</file>

<file path=xl/sharedStrings.xml><?xml version="1.0" encoding="utf-8"?>
<sst xmlns="http://schemas.openxmlformats.org/spreadsheetml/2006/main" count="708" uniqueCount="348">
  <si>
    <t>Core</t>
  </si>
  <si>
    <t>-</t>
  </si>
  <si>
    <t>Date</t>
  </si>
  <si>
    <t>UTC</t>
  </si>
  <si>
    <t>Time</t>
  </si>
  <si>
    <t>Note</t>
  </si>
  <si>
    <t>THICKNESS</t>
  </si>
  <si>
    <t>Ice thickness</t>
  </si>
  <si>
    <t>m</t>
  </si>
  <si>
    <t>Draft</t>
  </si>
  <si>
    <t>Freeboard</t>
  </si>
  <si>
    <t>Core length</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</si>
  <si>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</si>
  <si>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</si>
  <si>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</si>
  <si>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</si>
  <si>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</si>
  <si>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</si>
  <si>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</si>
  <si>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</si>
  <si>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</si>
  <si>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</si>
  <si>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</si>
  <si>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</si>
  <si>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</si>
  <si>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</si>
  <si>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</si>
  <si>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</si>
  <si>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</si>
  <si>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</si>
  <si>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</si>
  <si>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</si>
  <si>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</si>
  <si>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</si>
  <si>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</si>
  <si>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</si>
  <si>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</si>
  <si>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</si>
  <si>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</si>
  <si>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</si>
  <si>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</si>
  <si>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</si>
  <si>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</si>
  <si>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</si>
  <si>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</si>
  <si>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</si>
  <si>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</si>
  <si>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</si>
  <si>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</si>
  <si>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</si>
  <si>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</si>
  <si>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</si>
  <si>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</si>
  <si>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</si>
  <si>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</si>
  <si>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</si>
  <si>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</si>
  <si>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</si>
  <si>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</si>
  <si>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</si>
  <si>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</si>
  <si>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</si>
  <si>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</si>
  <si>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</si>
  <si>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</si>
  <si>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</si>
  <si>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</si>
  <si>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</si>
  <si>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</si>
  <si>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</si>
  <si>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</si>
  <si>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</si>
  <si>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</si>
  <si>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</si>
  <si>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</si>
  <si>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</si>
  <si>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</si>
  <si>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</si>
  <si>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</si>
  <si>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</si>
  <si>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</si>
  <si>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</si>
  <si>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</si>
  <si>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</si>
  <si>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</si>
  <si>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</si>
  <si>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</si>
  <si>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</si>
  <si>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</si>
  <si>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</si>
  <si>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</si>
  <si>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</si>
  <si>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</si>
  <si>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</si>
  <si>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</si>
  <si>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</si>
  <si>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</si>
  <si>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</si>
  <si>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</si>
  <si>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</si>
  <si>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</si>
  <si>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</si>
  <si>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</si>
  <si>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</si>
  <si>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</si>
  <si>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</si>
  <si>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</si>
  <si>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</si>
  <si>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</si>
  <si>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</si>
  <si>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</si>
  <si>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</si>
  <si>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</si>
  <si>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</si>
  <si>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</si>
  <si>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</si>
  <si>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</si>
  <si>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</si>
  <si>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</si>
  <si>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</si>
  <si>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</si>
  <si>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</si>
  <si>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</si>
  <si>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</si>
  <si>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</si>
  <si>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</si>
  <si>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</si>
  <si>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</si>
  <si>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</si>
  <si>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</si>
  <si>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</si>
  <si>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</si>
  <si>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</si>
  <si>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</si>
  <si>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</si>
  <si>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</si>
  <si>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</si>
  <si>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</si>
  <si>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</si>
  <si>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</si>
  <si>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</si>
  <si>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</si>
  <si>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</si>
  <si>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</si>
  <si>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</si>
  <si>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</si>
  <si>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</si>
  <si>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</si>
  <si>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</si>
  <si>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</si>
  <si>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</si>
  <si>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</si>
  <si>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</si>
  <si>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</si>
  <si>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</si>
  <si>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</si>
  <si>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</si>
  <si>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</si>
  <si>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</si>
  <si>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</si>
  <si>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</si>
  <si>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</si>
  <si>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</si>
  <si>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</si>
  <si>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</si>
  <si>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</si>
  <si>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</si>
  <si>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</si>
  <si>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</si>
  <si>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</si>
  <si>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</si>
  <si>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</si>
  <si>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</si>
  <si>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</si>
  <si>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</si>
  <si>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</si>
  <si>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</si>
  <si>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</si>
  <si>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</si>
  <si>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</si>
  <si>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</si>
  <si>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</si>
  <si>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</si>
  <si>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</si>
  <si>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</si>
  <si>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</si>
  <si>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</si>
  <si>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</si>
  <si>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</si>
  <si>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</si>
  <si>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</si>
  <si>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</si>
  <si>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</si>
  <si>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</si>
  <si>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</si>
  <si>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</si>
  <si>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</si>
  <si>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</si>
  <si>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</si>
  <si>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</si>
  <si>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</si>
  <si>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</si>
  <si>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</si>
  <si>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</si>
  <si>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</si>
  <si>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</si>
  <si>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</si>
  <si>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</si>
  <si>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</si>
  <si>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</si>
  <si>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</si>
  <si>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</si>
  <si>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</si>
  <si>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</si>
  <si>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</si>
  <si>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</si>
  <si>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</si>
  <si>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</si>
  <si>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</si>
  <si>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</si>
  <si>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</si>
  <si>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</si>
  <si>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</si>
  <si>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</si>
  <si>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</si>
  <si>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</si>
  <si>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</si>
  <si>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</si>
  <si>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</si>
  <si>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</si>
  <si>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</si>
  <si>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</si>
  <si>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</si>
  <si>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</si>
  <si>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</si>
  <si>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</si>
  <si>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</si>
  <si>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</si>
  <si>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</si>
  <si>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</si>
  <si>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</si>
  <si>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</si>
  <si>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</si>
  <si>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</si>
  <si>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</si>
  <si>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</si>
  <si>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</si>
  <si>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</si>
  <si>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</si>
  <si>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</si>
  <si>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</si>
  <si>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</si>
  <si>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</si>
  <si>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</si>
  <si>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</si>
  <si>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</si>
  <si>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</si>
  <si>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</si>
  <si>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</si>
  <si>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</si>
  <si>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</si>
  <si>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</si>
  <si>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</si>
  <si>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</si>
  <si>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</si>
  <si>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</si>
  <si>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</si>
  <si>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</si>
  <si>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</si>
  <si>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</si>
  <si>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</si>
  <si>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</si>
  <si>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</si>
  <si>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</si>
  <si>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</si>
  <si>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</si>
  <si>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</si>
  <si>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</si>
  <si>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</si>
  <si>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</si>
  <si>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</si>
  <si>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</si>
  <si>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</si>
  <si>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</si>
  <si>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</si>
  <si>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</si>
  <si>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</si>
  <si>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</si>
  <si>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</si>
  <si>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</si>
  <si>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</si>
  <si>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</si>
  <si>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</si>
  <si>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</si>
  <si>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</si>
  <si>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</si>
  <si>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</si>
  <si>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</si>
  <si>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David Clemens-Sewall</t>
  </si>
  <si>
    <t>Salinity probe</t>
  </si>
  <si>
    <t>densinometry</t>
  </si>
  <si>
    <t>Shimadzu balance UX4200H+SK101 specific gravity kit</t>
  </si>
  <si>
    <t xml:space="preserve">Cond 3110 S/N (NPI); the same as the one used for other RHO cores of the PS149. </t>
  </si>
  <si>
    <t>measured right after</t>
  </si>
  <si>
    <t>bubbles out at immersion</t>
  </si>
  <si>
    <t>large bubbles inside</t>
  </si>
  <si>
    <t>small bubbles</t>
  </si>
  <si>
    <t>Coring site melt pond SYI ice</t>
  </si>
  <si>
    <t>nearly floats; large bubbles inside</t>
  </si>
  <si>
    <t xml:space="preserve"> large bubbles inside</t>
  </si>
  <si>
    <t xml:space="preserve"> large bubbles inside; bubbles out at immersion</t>
  </si>
  <si>
    <t>PS149-3c</t>
  </si>
  <si>
    <t xml:space="preserve">Melt pond core for densinometric measurements and texture (SSL-pond). Packed on the ice, brought onboard within 15 minutes after recovery and cut within 2 hours. The core was still not fully frozen and did not reach the lab T of -20. Some brine might have leacked during transport. Core pictures were taken both on the ice and onboard in the freezer lab. The core had a false bottom layer of three pieces/layers refrozen together. </t>
  </si>
  <si>
    <t>false bottom</t>
  </si>
  <si>
    <t>C13</t>
  </si>
  <si>
    <t>C14</t>
  </si>
  <si>
    <t>C15</t>
  </si>
  <si>
    <t>C16</t>
  </si>
  <si>
    <t>C17</t>
  </si>
  <si>
    <t>RHO parafine=0.8355</t>
  </si>
  <si>
    <t>T lab =-23</t>
  </si>
  <si>
    <t>na</t>
  </si>
  <si>
    <t xml:space="preserve"> large bubbles inside; bubbles out at immersion; nearly floats</t>
  </si>
  <si>
    <t>large bubbles; floats</t>
  </si>
  <si>
    <t xml:space="preserve"> large bubbles and melt channels inside; bubbles out at immersion; nearly floats</t>
  </si>
  <si>
    <t xml:space="preserve"> large bubbles and melt channels inside</t>
  </si>
  <si>
    <t xml:space="preserve"> large bubbles inside; bubbles out at immersion;  floats</t>
  </si>
  <si>
    <t>section 2; false bottom of three layers frozen together</t>
  </si>
  <si>
    <t>section 1; top is quite porous, almost like a sponge, see photos</t>
  </si>
  <si>
    <t>measured with ice thickness gauge, includes three false bottoms</t>
  </si>
  <si>
    <t>measured as total length of ice core, includes 3 false bottoms. Without the false bottoms the core length is 0.99.</t>
  </si>
  <si>
    <t>Nora Greenwood</t>
  </si>
  <si>
    <t>Computed from core data of the events, includes false bottoms</t>
  </si>
  <si>
    <t>a uCT core for Ruzica Dadic was collected approximate 10 cm S of this core</t>
  </si>
  <si>
    <t>Melt pond core was taken at 10 m mark along the SSLPOND transect (where spectral albedo, spectral transmittance, and hyperspectral imagery was also conducted) and rushed immediately to the freezer lab. Water drained out of the core barrel while coring and drained immediately from large horizontal voids in core. Little to no drainage was observed from the clear sections of the core. A core was also taken at this site for micro-CT.</t>
  </si>
  <si>
    <t>20250817-PS149_41-1-SI_corer_9cm-020-SYI-SSL_melt_pond-RHO-TXT</t>
  </si>
  <si>
    <t>Slide 1; H_thick_section=4.4 mm; H_thin_section= 1.1 mm</t>
  </si>
  <si>
    <t>Slide 2; H_thick_section= 3.8 mm; H_thin_section= 1.2 mm</t>
  </si>
  <si>
    <t>Slide 3; H_thick_section= 4.2 mm; H_thin_section= 1.2 mm</t>
  </si>
  <si>
    <t>Slide 4; H_thick_section=4.1  mm; H_thin_section= 0.9 mm</t>
  </si>
  <si>
    <t xml:space="preserve">Slide 5; H_thick_section=4.2 mm; H_thin_section=0.7  mm </t>
  </si>
  <si>
    <t>Slide 6; H_thick_section= 4.0 mm; H_thin_section= 0.7 mm</t>
  </si>
  <si>
    <t>Slide 7; H_thick_section= 4.2  mm; H_thin_section= 0.8 mm</t>
  </si>
  <si>
    <t>Slide 8; H_thick_section= mm; H_thin_section= 0.8 mm</t>
  </si>
  <si>
    <t>Slide 9; H_thick_section= 4.5 mm; H_thin_section= 0.9 mm</t>
  </si>
  <si>
    <t>Slide 10; H_thick_section= 3.9  mm; H_thin_section= 0.9 mm</t>
  </si>
  <si>
    <t>Tlab=-23</t>
  </si>
  <si>
    <t>rho_parafine=0.8355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</si>
</sst>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10">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
      <patternFill patternType="solid">
        <fgColor theme="6" tint="0.39997558519241921"/>
        <bgColor indexed="64"/>
      </patternFill>
    </fill>
    <fill>
      <patternFill patternType="solid">
        <fgColor theme="6" tint="0.39997558519241921"/>
        <bgColor rgb="FFBFBFBF"/>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8">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8" borderId="0" xfId="0" applyFont="1" applyFill="1"/>
    <xf numFmtId="0" fontId="1" fillId="9" borderId="0" xfId="0" applyFont="1" applyFill="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SSL melt pond Station 3c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SALO18!$C$5:$C$24</c:f>
              <c:numCache>
                <c:formatCode>0.00</c:formatCode>
                <c:ptCount val="20"/>
                <c:pt idx="0">
                  <c:v>0.03</c:v>
                </c:pt>
                <c:pt idx="1">
                  <c:v>0.09</c:v>
                </c:pt>
                <c:pt idx="2">
                  <c:v>0.15</c:v>
                </c:pt>
                <c:pt idx="3">
                  <c:v>0.2</c:v>
                </c:pt>
                <c:pt idx="4">
                  <c:v>0.245</c:v>
                </c:pt>
                <c:pt idx="5">
                  <c:v>0.30000000000000004</c:v>
                </c:pt>
                <c:pt idx="6">
                  <c:v>0.36</c:v>
                </c:pt>
                <c:pt idx="7">
                  <c:v>0.42000000000000004</c:v>
                </c:pt>
                <c:pt idx="8">
                  <c:v>0.48</c:v>
                </c:pt>
                <c:pt idx="9">
                  <c:v>0.54</c:v>
                </c:pt>
                <c:pt idx="10">
                  <c:v>0.6</c:v>
                </c:pt>
                <c:pt idx="11">
                  <c:v>0.65999999999999992</c:v>
                </c:pt>
                <c:pt idx="12">
                  <c:v>0.72</c:v>
                </c:pt>
                <c:pt idx="13">
                  <c:v>0.78</c:v>
                </c:pt>
                <c:pt idx="14">
                  <c:v>0.84000000000000008</c:v>
                </c:pt>
                <c:pt idx="15">
                  <c:v>0.9</c:v>
                </c:pt>
                <c:pt idx="16">
                  <c:v>0.96</c:v>
                </c:pt>
                <c:pt idx="17">
                  <c:v>1.0350000000000001</c:v>
                </c:pt>
                <c:pt idx="18">
                  <c:v>1.1150000000000002</c:v>
                </c:pt>
                <c:pt idx="19">
                  <c:v>1.1700000000000002</c:v>
                </c:pt>
              </c:numCache>
            </c:numRef>
          </c:xVal>
          <c:yVal>
            <c:numRef>
              <c:f>SALO18!$E$5:$E$24</c:f>
              <c:numCache>
                <c:formatCode>General</c:formatCode>
                <c:ptCount val="20"/>
                <c:pt idx="0">
                  <c:v>0</c:v>
                </c:pt>
                <c:pt idx="1">
                  <c:v>0</c:v>
                </c:pt>
                <c:pt idx="2">
                  <c:v>0</c:v>
                </c:pt>
                <c:pt idx="3">
                  <c:v>0</c:v>
                </c:pt>
                <c:pt idx="4">
                  <c:v>0</c:v>
                </c:pt>
                <c:pt idx="5">
                  <c:v>0</c:v>
                </c:pt>
                <c:pt idx="6">
                  <c:v>0</c:v>
                </c:pt>
                <c:pt idx="7">
                  <c:v>0</c:v>
                </c:pt>
                <c:pt idx="8">
                  <c:v>0</c:v>
                </c:pt>
                <c:pt idx="9">
                  <c:v>0</c:v>
                </c:pt>
                <c:pt idx="10">
                  <c:v>0.1</c:v>
                </c:pt>
                <c:pt idx="11">
                  <c:v>0.1</c:v>
                </c:pt>
                <c:pt idx="12">
                  <c:v>0.1</c:v>
                </c:pt>
                <c:pt idx="13">
                  <c:v>0.1</c:v>
                </c:pt>
                <c:pt idx="14">
                  <c:v>0.1</c:v>
                </c:pt>
                <c:pt idx="15">
                  <c:v>0.2</c:v>
                </c:pt>
                <c:pt idx="16">
                  <c:v>0.1</c:v>
                </c:pt>
                <c:pt idx="17">
                  <c:v>0</c:v>
                </c:pt>
                <c:pt idx="18">
                  <c:v>0.1</c:v>
                </c:pt>
                <c:pt idx="19">
                  <c:v>0.1</c:v>
                </c:pt>
              </c:numCache>
            </c:numRef>
          </c:yVal>
          <c:smooth val="1"/>
          <c:extLst>
            <c:ext xmlns:c16="http://schemas.microsoft.com/office/drawing/2014/chart" uri="{C3380CC4-5D6E-409C-BE32-E72D297353CC}">
              <c16:uniqueId val="{00000000-0C46-4B81-982E-C8B8193003AE}"/>
            </c:ext>
          </c:extLst>
        </c:ser>
        <c:dLbls>
          <c:showLegendKey val="0"/>
          <c:showVal val="0"/>
          <c:showCatName val="0"/>
          <c:showSerName val="0"/>
          <c:showPercent val="0"/>
          <c:showBubbleSize val="0"/>
        </c:dLbls>
        <c:axId val="949835887"/>
        <c:axId val="949834447"/>
      </c:scatterChart>
      <c:valAx>
        <c:axId val="9498358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34447"/>
        <c:crosses val="autoZero"/>
        <c:crossBetween val="midCat"/>
      </c:valAx>
      <c:valAx>
        <c:axId val="94983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358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SSL melt</a:t>
            </a:r>
            <a:r>
              <a:rPr lang="nb-NO" baseline="0"/>
              <a:t> </a:t>
            </a:r>
            <a:r>
              <a:rPr lang="nb-NO"/>
              <a:t>pond SYI Station 3c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'Density-densimetry'!$C$4:$C$38</c:f>
              <c:numCache>
                <c:formatCode>0.00</c:formatCode>
                <c:ptCount val="35"/>
                <c:pt idx="0">
                  <c:v>0.03</c:v>
                </c:pt>
                <c:pt idx="1">
                  <c:v>0.09</c:v>
                </c:pt>
                <c:pt idx="2">
                  <c:v>0.15</c:v>
                </c:pt>
                <c:pt idx="3">
                  <c:v>0.2</c:v>
                </c:pt>
                <c:pt idx="4">
                  <c:v>0.245</c:v>
                </c:pt>
                <c:pt idx="5">
                  <c:v>0.30000000000000004</c:v>
                </c:pt>
                <c:pt idx="6">
                  <c:v>0.36</c:v>
                </c:pt>
                <c:pt idx="7">
                  <c:v>0.42000000000000004</c:v>
                </c:pt>
                <c:pt idx="8">
                  <c:v>0.48</c:v>
                </c:pt>
                <c:pt idx="9">
                  <c:v>0.54</c:v>
                </c:pt>
                <c:pt idx="10">
                  <c:v>0.6</c:v>
                </c:pt>
                <c:pt idx="11">
                  <c:v>0.65999999999999992</c:v>
                </c:pt>
                <c:pt idx="12">
                  <c:v>0.72</c:v>
                </c:pt>
                <c:pt idx="13">
                  <c:v>0.78</c:v>
                </c:pt>
                <c:pt idx="14">
                  <c:v>0.84000000000000008</c:v>
                </c:pt>
                <c:pt idx="15">
                  <c:v>0.9</c:v>
                </c:pt>
                <c:pt idx="16">
                  <c:v>0.96</c:v>
                </c:pt>
                <c:pt idx="17">
                  <c:v>1.0350000000000001</c:v>
                </c:pt>
                <c:pt idx="18">
                  <c:v>1.1150000000000002</c:v>
                </c:pt>
                <c:pt idx="19">
                  <c:v>1.1700000000000002</c:v>
                </c:pt>
                <c:pt idx="20">
                  <c:v>1.2150000000000003</c:v>
                </c:pt>
              </c:numCache>
            </c:numRef>
          </c:xVal>
          <c:yVal>
            <c:numRef>
              <c:f>'Density-densimetry'!$G$4:$G$38</c:f>
              <c:numCache>
                <c:formatCode>General</c:formatCode>
                <c:ptCount val="35"/>
                <c:pt idx="0">
                  <c:v>0.87947994024754594</c:v>
                </c:pt>
                <c:pt idx="1">
                  <c:v>0.86949015748031488</c:v>
                </c:pt>
                <c:pt idx="2">
                  <c:v>0.84164338235294112</c:v>
                </c:pt>
                <c:pt idx="3">
                  <c:v>0.83961576354679801</c:v>
                </c:pt>
                <c:pt idx="4">
                  <c:v>0.83550000000000002</c:v>
                </c:pt>
                <c:pt idx="5">
                  <c:v>0.83550000000000002</c:v>
                </c:pt>
                <c:pt idx="6">
                  <c:v>0.83550000000000002</c:v>
                </c:pt>
                <c:pt idx="7">
                  <c:v>0.84187542922548653</c:v>
                </c:pt>
                <c:pt idx="8">
                  <c:v>0.83550000000000002</c:v>
                </c:pt>
                <c:pt idx="9">
                  <c:v>0.84057072829131663</c:v>
                </c:pt>
                <c:pt idx="10">
                  <c:v>0.84729692691029901</c:v>
                </c:pt>
                <c:pt idx="11">
                  <c:v>0.84953294573643412</c:v>
                </c:pt>
                <c:pt idx="12">
                  <c:v>0.84192432213678681</c:v>
                </c:pt>
                <c:pt idx="13">
                  <c:v>0.84702157473309603</c:v>
                </c:pt>
                <c:pt idx="14">
                  <c:v>0.85474181818181816</c:v>
                </c:pt>
                <c:pt idx="15">
                  <c:v>0.86422892133772966</c:v>
                </c:pt>
                <c:pt idx="16">
                  <c:v>0.8953242473555737</c:v>
                </c:pt>
                <c:pt idx="17">
                  <c:v>0.89514435206422027</c:v>
                </c:pt>
                <c:pt idx="18">
                  <c:v>0.83550000000000002</c:v>
                </c:pt>
                <c:pt idx="19">
                  <c:v>0.88234595375722535</c:v>
                </c:pt>
                <c:pt idx="20">
                  <c:v>0.87372092050209205</c:v>
                </c:pt>
              </c:numCache>
            </c:numRef>
          </c:yVal>
          <c:smooth val="1"/>
          <c:extLst>
            <c:ext xmlns:c16="http://schemas.microsoft.com/office/drawing/2014/chart" uri="{C3380CC4-5D6E-409C-BE32-E72D297353CC}">
              <c16:uniqueId val="{00000000-FE77-4616-8A0F-5CB334978915}"/>
            </c:ext>
          </c:extLst>
        </c:ser>
        <c:dLbls>
          <c:showLegendKey val="0"/>
          <c:showVal val="0"/>
          <c:showCatName val="0"/>
          <c:showSerName val="0"/>
          <c:showPercent val="0"/>
          <c:showBubbleSize val="0"/>
        </c:dLbls>
        <c:axId val="1875414927"/>
        <c:axId val="1875411567"/>
      </c:scatterChart>
      <c:valAx>
        <c:axId val="18754149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11567"/>
        <c:crosses val="autoZero"/>
        <c:crossBetween val="midCat"/>
      </c:valAx>
      <c:valAx>
        <c:axId val="187541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14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448236</xdr:colOff>
      <xdr:row>6</xdr:row>
      <xdr:rowOff>116542</xdr:rowOff>
    </xdr:from>
    <xdr:to>
      <xdr:col>19</xdr:col>
      <xdr:colOff>484095</xdr:colOff>
      <xdr:row>21</xdr:row>
      <xdr:rowOff>170330</xdr:rowOff>
    </xdr:to>
    <xdr:graphicFrame macro="">
      <xdr:nvGraphicFramePr>
        <xdr:cNvPr id="2" name="Chart 1">
          <a:extLst>
            <a:ext uri="{FF2B5EF4-FFF2-40B4-BE49-F238E27FC236}">
              <a16:creationId xmlns:a16="http://schemas.microsoft.com/office/drawing/2014/main" id="{042F3F9A-0E87-D8FB-AB44-52E58710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349623</xdr:colOff>
      <xdr:row>2</xdr:row>
      <xdr:rowOff>44824</xdr:rowOff>
    </xdr:from>
    <xdr:to>
      <xdr:col>20</xdr:col>
      <xdr:colOff>475129</xdr:colOff>
      <xdr:row>17</xdr:row>
      <xdr:rowOff>98612</xdr:rowOff>
    </xdr:to>
    <xdr:graphicFrame macro="">
      <xdr:nvGraphicFramePr>
        <xdr:cNvPr id="2" name="Chart 1">
          <a:extLst>
            <a:ext uri="{FF2B5EF4-FFF2-40B4-BE49-F238E27FC236}">
              <a16:creationId xmlns:a16="http://schemas.microsoft.com/office/drawing/2014/main" id="{FCDFB42E-4CC6-A0ED-4D1C-06DF965CA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I4" sqref="I4"/>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5" t="s">
        <v>335</v>
      </c>
      <c r="D1" s="145"/>
      <c r="E1" s="145"/>
      <c r="F1" s="9"/>
    </row>
    <row r="2" spans="1:6" ht="15">
      <c r="A2" s="7" t="s">
        <v>2</v>
      </c>
      <c r="B2" s="8"/>
      <c r="C2" s="10">
        <v>45886</v>
      </c>
      <c r="D2" s="11" t="s">
        <v>3</v>
      </c>
      <c r="E2" s="9"/>
      <c r="F2" s="9"/>
    </row>
    <row r="3" spans="1:6" ht="15">
      <c r="A3" s="7" t="s">
        <v>4</v>
      </c>
      <c r="B3" s="8"/>
      <c r="C3" s="12">
        <v>0.64583333333333337</v>
      </c>
      <c r="D3" s="11" t="s">
        <v>3</v>
      </c>
      <c r="E3" s="9"/>
      <c r="F3" s="9"/>
    </row>
    <row r="4" spans="1:6" ht="15">
      <c r="A4" s="13" t="s">
        <v>5</v>
      </c>
      <c r="B4" s="14" t="s">
        <v>1</v>
      </c>
      <c r="C4" s="145" t="s">
        <v>312</v>
      </c>
      <c r="D4" s="145"/>
      <c r="E4" s="145"/>
      <c r="F4" s="9"/>
    </row>
    <row r="5" spans="1:6">
      <c r="A5" s="9"/>
      <c r="B5" s="9"/>
      <c r="C5" s="9"/>
      <c r="D5" s="9"/>
      <c r="E5" s="9"/>
      <c r="F5" s="9"/>
    </row>
    <row r="6" spans="1:6" ht="15">
      <c r="A6" s="15" t="s">
        <v>6</v>
      </c>
      <c r="B6" s="9"/>
      <c r="C6" s="9"/>
      <c r="D6" s="9"/>
      <c r="E6" s="9"/>
      <c r="F6" s="9"/>
    </row>
    <row r="7" spans="1:6" ht="15">
      <c r="A7" s="7" t="s">
        <v>7</v>
      </c>
      <c r="B7" s="8" t="s">
        <v>8</v>
      </c>
      <c r="C7" s="16">
        <v>1.38</v>
      </c>
      <c r="D7" s="17" t="s">
        <v>329</v>
      </c>
      <c r="E7" s="9"/>
      <c r="F7" s="9"/>
    </row>
    <row r="8" spans="1:6" ht="15">
      <c r="A8" s="7" t="s">
        <v>9</v>
      </c>
      <c r="B8" s="8" t="s">
        <v>8</v>
      </c>
      <c r="C8" s="16">
        <v>1.44</v>
      </c>
      <c r="D8" s="17" t="s">
        <v>329</v>
      </c>
      <c r="E8" s="9"/>
      <c r="F8" s="9"/>
    </row>
    <row r="9" spans="1:6" ht="15">
      <c r="A9" s="7" t="s">
        <v>10</v>
      </c>
      <c r="B9" s="8" t="s">
        <v>8</v>
      </c>
      <c r="C9" s="18"/>
      <c r="D9" s="9"/>
      <c r="E9" s="9"/>
      <c r="F9" s="9"/>
    </row>
    <row r="10" spans="1:6" ht="15">
      <c r="A10" s="7" t="s">
        <v>11</v>
      </c>
      <c r="B10" s="8" t="s">
        <v>8</v>
      </c>
      <c r="C10" s="16">
        <f>1.08+0.16</f>
        <v>1.24</v>
      </c>
      <c r="D10" s="9" t="s">
        <v>330</v>
      </c>
      <c r="E10" s="9"/>
      <c r="F10" s="9"/>
    </row>
    <row r="11" spans="1:6">
      <c r="A11" s="9"/>
      <c r="B11" s="9"/>
      <c r="C11" s="9"/>
      <c r="D11" s="9"/>
      <c r="E11" s="9"/>
      <c r="F11" s="9"/>
    </row>
    <row r="12" spans="1:6" ht="15">
      <c r="A12" s="19" t="s">
        <v>12</v>
      </c>
      <c r="B12" s="19"/>
      <c r="C12" s="19"/>
      <c r="D12" s="19"/>
      <c r="E12" s="19"/>
      <c r="F12" s="19"/>
    </row>
    <row r="13" spans="1:6" ht="15">
      <c r="A13" s="19" t="s">
        <v>13</v>
      </c>
      <c r="B13" s="19"/>
      <c r="C13" s="145" t="s">
        <v>295</v>
      </c>
      <c r="D13" s="145"/>
      <c r="E13" s="145"/>
      <c r="F13" s="145"/>
    </row>
    <row r="14" spans="1:6">
      <c r="B14" s="6" t="s">
        <v>296</v>
      </c>
      <c r="C14" s="6" t="s">
        <v>297</v>
      </c>
      <c r="D14" s="5"/>
      <c r="E14" s="5"/>
      <c r="F14" s="5"/>
    </row>
    <row r="15" spans="1:6">
      <c r="B15" s="6" t="s">
        <v>299</v>
      </c>
      <c r="C15" s="6" t="s">
        <v>302</v>
      </c>
    </row>
    <row r="16" spans="1:6">
      <c r="B16" s="6" t="s">
        <v>300</v>
      </c>
      <c r="C16" s="6" t="s">
        <v>301</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27"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14</v>
      </c>
      <c r="B1" s="20" t="s">
        <v>15</v>
      </c>
      <c r="C1" s="21" t="s">
        <v>16</v>
      </c>
      <c r="D1" s="4"/>
      <c r="E1" s="22"/>
      <c r="F1" s="4"/>
      <c r="G1" s="4"/>
      <c r="H1" s="4"/>
      <c r="I1" s="4"/>
      <c r="J1" s="22"/>
      <c r="K1" s="22"/>
      <c r="L1" s="22"/>
      <c r="M1" s="22"/>
      <c r="N1" s="22"/>
      <c r="O1" s="22"/>
      <c r="P1" s="22"/>
      <c r="Q1" s="22"/>
      <c r="R1" s="22"/>
      <c r="S1" s="22"/>
      <c r="T1" s="22"/>
      <c r="U1" s="22"/>
      <c r="V1" s="22"/>
      <c r="W1" s="22"/>
      <c r="X1" s="22"/>
      <c r="Y1" s="22"/>
    </row>
    <row r="2" spans="1:25" ht="12.75" customHeight="1">
      <c r="A2" s="146" t="s">
        <v>17</v>
      </c>
      <c r="B2" s="146"/>
      <c r="C2" s="146"/>
      <c r="D2" s="146"/>
      <c r="E2" s="146"/>
      <c r="F2" s="4"/>
      <c r="G2" s="4"/>
      <c r="H2" s="4"/>
      <c r="I2" s="4"/>
      <c r="J2" s="22"/>
      <c r="K2" s="22"/>
      <c r="L2" s="22"/>
      <c r="M2" s="22"/>
      <c r="N2" s="22"/>
      <c r="O2" s="22"/>
      <c r="P2" s="22"/>
      <c r="Q2" s="22"/>
      <c r="R2" s="22"/>
      <c r="S2" s="22"/>
      <c r="T2" s="22"/>
      <c r="U2" s="22"/>
      <c r="V2" s="22"/>
      <c r="W2" s="22"/>
      <c r="X2" s="22"/>
      <c r="Y2" s="22"/>
    </row>
    <row r="3" spans="1:25" ht="12.75" customHeight="1">
      <c r="A3" s="23" t="s">
        <v>18</v>
      </c>
      <c r="B3" s="24"/>
      <c r="C3" s="151" t="s">
        <v>294</v>
      </c>
      <c r="D3" s="151"/>
      <c r="E3" s="151"/>
      <c r="F3" s="4"/>
      <c r="G3" s="4"/>
      <c r="H3" s="4"/>
      <c r="I3" s="4"/>
      <c r="J3" s="22"/>
      <c r="K3" s="22"/>
      <c r="L3" s="22"/>
      <c r="M3" s="22"/>
      <c r="N3" s="22"/>
      <c r="O3" s="22"/>
      <c r="P3" s="22"/>
      <c r="Q3" s="22"/>
      <c r="R3" s="22"/>
      <c r="S3" s="22"/>
      <c r="T3" s="22"/>
      <c r="U3" s="22"/>
      <c r="V3" s="22"/>
      <c r="W3" s="22"/>
      <c r="X3" s="22"/>
      <c r="Y3" s="22"/>
    </row>
    <row r="4" spans="1:25" ht="12.75" customHeight="1">
      <c r="A4" s="25" t="s">
        <v>19</v>
      </c>
      <c r="B4" s="26"/>
      <c r="C4" s="152" t="s">
        <v>307</v>
      </c>
      <c r="D4" s="152"/>
      <c r="E4" s="152"/>
      <c r="F4" s="4"/>
      <c r="G4" s="4"/>
      <c r="H4" s="4"/>
      <c r="I4" s="4"/>
      <c r="J4" s="22"/>
      <c r="K4" s="22"/>
      <c r="L4" s="22"/>
      <c r="M4" s="22"/>
      <c r="N4" s="22"/>
      <c r="O4" s="22"/>
      <c r="P4" s="22"/>
      <c r="Q4" s="22"/>
      <c r="R4" s="22"/>
      <c r="S4" s="22"/>
      <c r="T4" s="22"/>
      <c r="U4" s="22"/>
      <c r="V4" s="22"/>
      <c r="W4" s="22"/>
      <c r="X4" s="22"/>
      <c r="Y4" s="22"/>
    </row>
    <row r="5" spans="1:25" ht="25.9" customHeight="1">
      <c r="A5" s="146" t="s">
        <v>20</v>
      </c>
      <c r="B5" s="146"/>
      <c r="C5" s="146"/>
      <c r="D5" s="146"/>
      <c r="E5" s="146"/>
      <c r="F5" s="4"/>
      <c r="G5" s="4"/>
      <c r="H5" s="22"/>
      <c r="I5" s="4"/>
      <c r="J5" s="22"/>
      <c r="K5" s="22"/>
      <c r="L5" s="22"/>
      <c r="M5" s="22"/>
      <c r="N5" s="22"/>
      <c r="O5" s="22"/>
      <c r="P5" s="22"/>
      <c r="Q5" s="22"/>
      <c r="R5" s="22"/>
      <c r="S5" s="22"/>
      <c r="T5" s="22"/>
      <c r="U5" s="22"/>
      <c r="V5" s="22"/>
      <c r="W5" s="22"/>
      <c r="X5" s="22"/>
      <c r="Y5" s="22"/>
    </row>
    <row r="6" spans="1:25" ht="13.5" customHeight="1">
      <c r="A6" s="4"/>
      <c r="B6" s="4"/>
      <c r="C6" s="153" t="s">
        <v>21</v>
      </c>
      <c r="D6" s="153"/>
      <c r="E6" s="153"/>
      <c r="F6" s="146" t="s">
        <v>22</v>
      </c>
      <c r="G6" s="146"/>
      <c r="H6" s="146"/>
      <c r="I6" s="4"/>
      <c r="J6" s="22"/>
      <c r="K6" s="22"/>
      <c r="L6" s="22"/>
      <c r="M6" s="22"/>
      <c r="N6" s="22"/>
      <c r="O6" s="22"/>
      <c r="P6" s="22"/>
      <c r="Q6" s="22"/>
      <c r="R6" s="22"/>
      <c r="S6" s="22"/>
      <c r="T6" s="22"/>
      <c r="U6" s="22"/>
      <c r="V6" s="22"/>
      <c r="W6" s="22"/>
      <c r="X6" s="22"/>
      <c r="Y6" s="22"/>
    </row>
    <row r="7" spans="1:25" ht="12.75" customHeight="1">
      <c r="A7" s="4"/>
      <c r="B7" s="4"/>
      <c r="C7" s="27" t="s">
        <v>23</v>
      </c>
      <c r="D7" s="27" t="s">
        <v>24</v>
      </c>
      <c r="E7" s="28" t="s">
        <v>25</v>
      </c>
      <c r="F7" s="27" t="s">
        <v>23</v>
      </c>
      <c r="G7" s="27" t="s">
        <v>24</v>
      </c>
      <c r="H7" s="27" t="s">
        <v>25</v>
      </c>
      <c r="I7" s="4"/>
      <c r="J7" s="22"/>
      <c r="K7" s="22"/>
      <c r="L7" s="22"/>
      <c r="M7" s="22"/>
      <c r="N7" s="22"/>
      <c r="O7" s="22"/>
      <c r="P7" s="22"/>
      <c r="Q7" s="22"/>
      <c r="R7" s="22"/>
      <c r="S7" s="22"/>
      <c r="T7" s="22"/>
      <c r="U7" s="22"/>
      <c r="V7" s="22"/>
      <c r="W7" s="22"/>
      <c r="X7" s="22"/>
      <c r="Y7" s="22"/>
    </row>
    <row r="8" spans="1:25" ht="12.75" customHeight="1">
      <c r="A8" s="23" t="s">
        <v>26</v>
      </c>
      <c r="B8" s="29" t="s">
        <v>27</v>
      </c>
      <c r="C8">
        <v>82</v>
      </c>
      <c r="D8" s="30">
        <v>57.047499999999999</v>
      </c>
      <c r="E8" s="31"/>
      <c r="G8" s="30"/>
      <c r="H8" s="32"/>
      <c r="I8" s="22"/>
      <c r="J8" s="22"/>
      <c r="K8" s="22"/>
      <c r="L8" s="22"/>
      <c r="M8" s="22"/>
      <c r="N8" s="22"/>
      <c r="O8" s="22"/>
      <c r="P8" s="22"/>
      <c r="Q8" s="22"/>
      <c r="R8" s="22"/>
      <c r="S8" s="22"/>
      <c r="T8" s="22"/>
      <c r="U8" s="22"/>
      <c r="V8" s="22"/>
      <c r="W8" s="22"/>
      <c r="X8" s="22"/>
      <c r="Y8" s="22"/>
    </row>
    <row r="9" spans="1:25" ht="12.75" customHeight="1">
      <c r="A9" s="25" t="s">
        <v>28</v>
      </c>
      <c r="B9" s="33" t="s">
        <v>29</v>
      </c>
      <c r="C9">
        <v>-12</v>
      </c>
      <c r="D9" s="34">
        <v>48.863100000000003</v>
      </c>
      <c r="E9" s="35"/>
      <c r="G9" s="34"/>
      <c r="I9" s="22"/>
      <c r="J9" s="22"/>
      <c r="K9" s="22"/>
      <c r="L9" s="22"/>
      <c r="M9" s="22"/>
      <c r="N9" s="22"/>
      <c r="O9" s="22"/>
      <c r="P9" s="22"/>
      <c r="Q9" s="22"/>
      <c r="R9" s="22"/>
      <c r="S9" s="22"/>
      <c r="T9" s="22"/>
      <c r="U9" s="22"/>
      <c r="V9" s="22"/>
      <c r="W9" s="22"/>
      <c r="X9" s="22"/>
      <c r="Y9" s="22"/>
    </row>
    <row r="10" spans="1:25" ht="23.45" customHeight="1">
      <c r="A10" s="150" t="s">
        <v>30</v>
      </c>
      <c r="B10" s="150"/>
      <c r="C10" s="150"/>
      <c r="D10" s="150"/>
      <c r="E10" s="150"/>
      <c r="F10" s="146"/>
      <c r="G10" s="146"/>
      <c r="H10" s="146"/>
      <c r="I10" s="146"/>
      <c r="J10" s="22"/>
      <c r="K10" s="22"/>
      <c r="L10" s="22"/>
      <c r="M10" s="22"/>
      <c r="N10" s="22"/>
      <c r="O10" s="22"/>
      <c r="P10" s="22"/>
      <c r="Q10" s="22"/>
      <c r="R10" s="22"/>
      <c r="S10" s="22"/>
      <c r="T10" s="22"/>
      <c r="U10" s="22"/>
      <c r="V10" s="22"/>
      <c r="W10" s="22"/>
      <c r="X10" s="22"/>
      <c r="Y10" s="22"/>
    </row>
    <row r="11" spans="1:25" ht="13.5" customHeight="1">
      <c r="A11" s="3"/>
      <c r="B11" s="3"/>
      <c r="C11" s="3" t="s">
        <v>21</v>
      </c>
      <c r="D11" s="3" t="s">
        <v>22</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31</v>
      </c>
      <c r="B12" s="37" t="s">
        <v>32</v>
      </c>
      <c r="C12" s="38">
        <v>45886</v>
      </c>
      <c r="D12" s="38">
        <v>45886</v>
      </c>
      <c r="E12" s="22"/>
      <c r="F12" s="22"/>
      <c r="G12" s="22"/>
      <c r="H12" s="22"/>
      <c r="I12" s="22"/>
      <c r="J12" s="22"/>
      <c r="K12" s="22"/>
      <c r="L12" s="22"/>
      <c r="M12" s="22"/>
      <c r="N12" s="22"/>
      <c r="O12" s="22"/>
      <c r="P12" s="22"/>
      <c r="Q12" s="22"/>
      <c r="R12" s="22"/>
      <c r="S12" s="22"/>
      <c r="T12" s="22"/>
      <c r="U12" s="22"/>
      <c r="V12" s="22"/>
      <c r="W12" s="22"/>
      <c r="X12" s="22"/>
      <c r="Y12" s="22"/>
    </row>
    <row r="13" spans="1:25">
      <c r="A13" s="36" t="s">
        <v>33</v>
      </c>
      <c r="B13" s="37" t="s">
        <v>34</v>
      </c>
      <c r="C13" s="39">
        <v>0.625</v>
      </c>
      <c r="D13" s="39">
        <v>0.65277777777777779</v>
      </c>
      <c r="E13" s="40"/>
      <c r="F13" s="22"/>
      <c r="G13" s="22"/>
      <c r="H13" s="22"/>
      <c r="I13" s="22"/>
      <c r="J13" s="22"/>
      <c r="K13" s="22"/>
      <c r="L13" s="22"/>
      <c r="M13" s="22"/>
      <c r="N13" s="22"/>
      <c r="O13" s="22"/>
      <c r="P13" s="22"/>
      <c r="Q13" s="22"/>
      <c r="R13" s="22"/>
      <c r="S13" s="22"/>
      <c r="T13" s="22"/>
      <c r="U13" s="22"/>
      <c r="V13" s="22"/>
      <c r="W13" s="22"/>
      <c r="X13" s="22"/>
      <c r="Y13" s="22"/>
    </row>
    <row r="14" spans="1:25">
      <c r="A14" s="36" t="s">
        <v>35</v>
      </c>
      <c r="B14" s="41" t="s">
        <v>36</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50" t="s">
        <v>37</v>
      </c>
      <c r="B15" s="150"/>
      <c r="C15" s="150"/>
      <c r="D15" s="150"/>
      <c r="E15" s="150"/>
      <c r="F15" s="22"/>
      <c r="G15" s="22"/>
      <c r="H15" s="22"/>
      <c r="I15" s="22"/>
      <c r="J15" s="22"/>
      <c r="K15" s="22"/>
      <c r="L15" s="22"/>
      <c r="M15" s="22"/>
      <c r="N15" s="22"/>
      <c r="O15" s="22"/>
      <c r="P15" s="22"/>
      <c r="Q15" s="22"/>
      <c r="R15" s="22"/>
      <c r="S15" s="22"/>
      <c r="T15" s="22"/>
      <c r="U15" s="22"/>
      <c r="V15" s="22"/>
      <c r="W15" s="22"/>
      <c r="X15" s="22"/>
      <c r="Y15" s="22"/>
    </row>
    <row r="16" spans="1:25">
      <c r="A16" s="36" t="s">
        <v>38</v>
      </c>
      <c r="B16" s="43" t="s">
        <v>8</v>
      </c>
      <c r="C16">
        <v>0</v>
      </c>
      <c r="I16" s="22"/>
      <c r="J16" s="22"/>
      <c r="K16" s="22"/>
      <c r="L16" s="22"/>
      <c r="M16" s="22"/>
      <c r="N16" s="22"/>
      <c r="O16" s="22"/>
      <c r="P16" s="22"/>
      <c r="Q16" s="22"/>
      <c r="R16" s="22"/>
      <c r="S16" s="22"/>
      <c r="T16" s="22"/>
      <c r="U16" s="22"/>
      <c r="V16" s="22"/>
      <c r="W16" s="22"/>
      <c r="X16" s="22"/>
      <c r="Y16" s="22"/>
    </row>
    <row r="17" spans="1:25">
      <c r="A17" s="45" t="s">
        <v>39</v>
      </c>
      <c r="B17" s="46" t="s">
        <v>8</v>
      </c>
      <c r="C17" s="47">
        <v>-0.06</v>
      </c>
      <c r="D17" s="22" t="s">
        <v>332</v>
      </c>
      <c r="E17" s="22"/>
      <c r="F17" s="22"/>
      <c r="G17" s="22"/>
      <c r="H17" s="22"/>
      <c r="I17" s="22"/>
      <c r="J17" s="22"/>
      <c r="K17" s="22"/>
      <c r="L17" s="22"/>
      <c r="M17" s="22"/>
      <c r="N17" s="22"/>
      <c r="O17" s="22"/>
      <c r="P17" s="22"/>
      <c r="Q17" s="22"/>
      <c r="R17" s="22"/>
      <c r="S17" s="22"/>
      <c r="T17" s="22"/>
      <c r="U17" s="22"/>
      <c r="V17" s="22"/>
      <c r="W17" s="22"/>
      <c r="X17" s="22"/>
      <c r="Y17" s="22"/>
    </row>
    <row r="18" spans="1:25">
      <c r="A18" s="45" t="s">
        <v>40</v>
      </c>
      <c r="B18" s="46" t="s">
        <v>8</v>
      </c>
      <c r="C18" s="47">
        <v>1.38</v>
      </c>
      <c r="D18" s="22" t="s">
        <v>332</v>
      </c>
      <c r="E18" s="22"/>
      <c r="F18" s="22"/>
      <c r="G18" s="22"/>
      <c r="H18" s="22"/>
      <c r="I18" s="22"/>
      <c r="J18" s="22"/>
      <c r="K18" s="22"/>
      <c r="L18" s="22"/>
      <c r="M18" s="22"/>
      <c r="N18" s="22"/>
      <c r="O18" s="22"/>
      <c r="P18" s="22"/>
      <c r="Q18" s="22"/>
      <c r="R18" s="22"/>
      <c r="S18" s="22"/>
      <c r="T18" s="22"/>
      <c r="U18" s="22"/>
      <c r="V18" s="22"/>
      <c r="W18" s="22"/>
      <c r="X18" s="22"/>
      <c r="Y18" s="22"/>
    </row>
    <row r="19" spans="1:25">
      <c r="A19" s="45" t="s">
        <v>41</v>
      </c>
      <c r="B19" s="46" t="s">
        <v>8</v>
      </c>
      <c r="C19" s="44">
        <v>0.06</v>
      </c>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42</v>
      </c>
      <c r="B20" s="46" t="s">
        <v>1</v>
      </c>
      <c r="C20" s="48" t="s">
        <v>43</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44</v>
      </c>
      <c r="B21" s="46" t="s">
        <v>1</v>
      </c>
      <c r="C21" s="48" t="s">
        <v>45</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46</v>
      </c>
      <c r="B22" s="46" t="s">
        <v>1</v>
      </c>
      <c r="C22" s="48" t="s">
        <v>47</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48</v>
      </c>
      <c r="B23" s="43" t="s">
        <v>1</v>
      </c>
      <c r="C23" t="s">
        <v>235</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6" t="s">
        <v>50</v>
      </c>
      <c r="B24" s="146"/>
      <c r="C24" s="146"/>
      <c r="D24" s="146"/>
      <c r="E24" s="146"/>
      <c r="F24" s="22"/>
      <c r="G24" s="22"/>
      <c r="H24" s="22"/>
      <c r="I24" s="22"/>
      <c r="J24" s="22"/>
      <c r="K24" s="22"/>
      <c r="L24" s="22"/>
      <c r="M24" s="22"/>
      <c r="N24" s="22"/>
      <c r="O24" s="22"/>
      <c r="P24" s="22"/>
      <c r="Q24" s="22"/>
      <c r="R24" s="22"/>
      <c r="S24" s="22"/>
      <c r="T24" s="22"/>
      <c r="U24" s="22"/>
      <c r="V24" s="22"/>
      <c r="W24" s="22"/>
      <c r="X24" s="22"/>
      <c r="Y24" s="22"/>
    </row>
    <row r="25" spans="1:25">
      <c r="A25" s="36" t="s">
        <v>51</v>
      </c>
      <c r="B25" s="43" t="s">
        <v>52</v>
      </c>
      <c r="D25" s="49" t="s">
        <v>53</v>
      </c>
      <c r="E25" s="49"/>
      <c r="F25" s="22"/>
      <c r="G25" s="22"/>
      <c r="H25" s="22"/>
      <c r="I25" s="22"/>
      <c r="J25" s="22"/>
      <c r="K25" s="22"/>
      <c r="L25" s="22"/>
      <c r="M25" s="22"/>
      <c r="N25" s="22"/>
      <c r="O25" s="22"/>
      <c r="P25" s="22"/>
      <c r="Q25" s="22"/>
      <c r="R25" s="22"/>
      <c r="S25" s="22"/>
      <c r="T25" s="22"/>
      <c r="U25" s="22"/>
      <c r="V25" s="22"/>
      <c r="W25" s="22"/>
      <c r="X25" s="22"/>
      <c r="Y25" s="22"/>
    </row>
    <row r="26" spans="1:25">
      <c r="A26" s="45" t="s">
        <v>54</v>
      </c>
      <c r="B26" s="46" t="s">
        <v>52</v>
      </c>
      <c r="C26" s="48"/>
      <c r="D26" s="50" t="s">
        <v>55</v>
      </c>
      <c r="E26" s="50"/>
      <c r="F26" s="22"/>
      <c r="G26" s="22"/>
      <c r="H26" s="22"/>
      <c r="I26" s="22"/>
      <c r="J26" s="22"/>
      <c r="K26" s="22"/>
      <c r="L26" s="22"/>
      <c r="M26" s="22"/>
      <c r="N26" s="22"/>
      <c r="O26" s="22"/>
      <c r="P26" s="22"/>
      <c r="Q26" s="22"/>
      <c r="R26" s="22"/>
      <c r="S26" s="22"/>
      <c r="T26" s="22"/>
      <c r="U26" s="22"/>
      <c r="V26" s="22"/>
      <c r="W26" s="22"/>
      <c r="X26" s="22"/>
      <c r="Y26" s="22"/>
    </row>
    <row r="27" spans="1:25">
      <c r="A27" s="45" t="s">
        <v>56</v>
      </c>
      <c r="B27" s="46" t="s">
        <v>52</v>
      </c>
      <c r="C27" s="48"/>
      <c r="D27" s="50" t="s">
        <v>57</v>
      </c>
      <c r="E27" s="50"/>
      <c r="F27" s="22"/>
      <c r="G27" s="22"/>
      <c r="H27" s="22"/>
      <c r="I27" s="22"/>
      <c r="J27" s="22"/>
      <c r="K27" s="22"/>
      <c r="L27" s="22"/>
      <c r="M27" s="22"/>
      <c r="N27" s="22"/>
      <c r="O27" s="22"/>
      <c r="P27" s="22"/>
      <c r="Q27" s="22"/>
      <c r="R27" s="22"/>
      <c r="S27" s="22"/>
      <c r="T27" s="22"/>
      <c r="U27" s="22"/>
      <c r="V27" s="22"/>
      <c r="W27" s="22"/>
      <c r="X27" s="22"/>
      <c r="Y27" s="22"/>
    </row>
    <row r="28" spans="1:25">
      <c r="A28" s="36" t="s">
        <v>58</v>
      </c>
      <c r="B28" s="43" t="s">
        <v>52</v>
      </c>
      <c r="D28" s="49" t="s">
        <v>59</v>
      </c>
      <c r="E28" s="49"/>
      <c r="F28" s="22"/>
      <c r="G28" s="22"/>
      <c r="H28" s="22"/>
      <c r="I28" s="22"/>
      <c r="J28" s="22"/>
      <c r="K28" s="22"/>
      <c r="L28" s="22"/>
      <c r="M28" s="22"/>
      <c r="N28" s="22"/>
      <c r="O28" s="22"/>
      <c r="P28" s="22"/>
      <c r="Q28" s="22"/>
      <c r="R28" s="22"/>
      <c r="S28" s="22"/>
      <c r="T28" s="22"/>
      <c r="U28" s="22"/>
      <c r="V28" s="22"/>
      <c r="W28" s="22"/>
      <c r="X28" s="22"/>
      <c r="Y28" s="22"/>
    </row>
    <row r="29" spans="1:25" ht="24.2" customHeight="1">
      <c r="A29" s="146" t="s">
        <v>60</v>
      </c>
      <c r="B29" s="146"/>
      <c r="C29" s="146"/>
      <c r="D29" s="146"/>
      <c r="E29" s="146"/>
      <c r="F29" s="22"/>
      <c r="G29" s="22"/>
      <c r="H29" s="22"/>
      <c r="I29" s="22"/>
      <c r="J29" s="22"/>
      <c r="K29" s="22"/>
      <c r="L29" s="22"/>
      <c r="M29" s="22"/>
      <c r="N29" s="22"/>
      <c r="O29" s="22"/>
      <c r="P29" s="22"/>
      <c r="Q29" s="22"/>
      <c r="R29" s="22"/>
      <c r="S29" s="22"/>
      <c r="T29" s="22"/>
      <c r="U29" s="22"/>
      <c r="V29" s="22"/>
      <c r="W29" s="22"/>
      <c r="X29" s="22"/>
      <c r="Y29" s="22"/>
    </row>
    <row r="30" spans="1:25">
      <c r="A30" s="45" t="s">
        <v>61</v>
      </c>
      <c r="B30" s="51"/>
      <c r="C30" s="48" t="s">
        <v>311</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62</v>
      </c>
      <c r="B31" s="51"/>
      <c r="C31" s="52" t="s">
        <v>333</v>
      </c>
      <c r="D31" s="52"/>
      <c r="E31" s="52"/>
      <c r="F31" s="52"/>
      <c r="H31" s="52"/>
      <c r="I31" s="52"/>
      <c r="J31" s="52"/>
      <c r="K31" s="52"/>
      <c r="L31" s="52"/>
      <c r="M31" s="52"/>
      <c r="N31" s="52"/>
      <c r="O31" s="52"/>
      <c r="P31" s="52"/>
      <c r="Q31" s="52"/>
      <c r="R31" s="52"/>
      <c r="S31" s="52"/>
      <c r="T31" s="52"/>
      <c r="U31" s="52"/>
      <c r="V31" s="52"/>
      <c r="W31" s="22"/>
      <c r="X31" s="22"/>
      <c r="Y31" s="22"/>
    </row>
    <row r="32" spans="1:25">
      <c r="A32" s="45" t="s">
        <v>63</v>
      </c>
      <c r="B32" s="51"/>
      <c r="C32" s="48"/>
      <c r="E32" t="s">
        <v>331</v>
      </c>
      <c r="F32" t="s">
        <v>298</v>
      </c>
      <c r="H32" s="22"/>
      <c r="I32" s="22"/>
      <c r="J32" s="22"/>
      <c r="K32" s="22"/>
      <c r="L32" s="22"/>
      <c r="M32" s="22"/>
      <c r="N32" s="22"/>
      <c r="O32" s="22"/>
      <c r="P32" s="22"/>
      <c r="Q32" s="22"/>
      <c r="R32" s="22"/>
      <c r="S32" s="22"/>
      <c r="T32" s="22"/>
      <c r="U32" s="22"/>
      <c r="V32" s="22"/>
      <c r="W32" s="22"/>
      <c r="X32" s="22"/>
      <c r="Y32" s="22"/>
    </row>
    <row r="33" spans="1:25">
      <c r="A33" s="36" t="s">
        <v>64</v>
      </c>
      <c r="B33" s="53"/>
      <c r="C33" s="147"/>
      <c r="D33" s="147"/>
      <c r="E33" s="147"/>
      <c r="F33" s="147"/>
      <c r="G33" s="147"/>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6" t="s">
        <v>65</v>
      </c>
      <c r="B35" s="146"/>
      <c r="C35" s="146"/>
      <c r="D35" s="146"/>
      <c r="E35" s="146"/>
      <c r="F35" s="22"/>
      <c r="G35" s="22"/>
      <c r="H35" s="22"/>
      <c r="I35" s="22"/>
      <c r="J35" s="22"/>
      <c r="K35" s="22"/>
      <c r="L35" s="22"/>
      <c r="M35" s="22"/>
      <c r="N35" s="22"/>
      <c r="O35" s="22"/>
      <c r="P35" s="22"/>
      <c r="Q35" s="22"/>
      <c r="R35" s="22"/>
      <c r="S35" s="22"/>
      <c r="T35" s="22"/>
      <c r="U35" s="22"/>
      <c r="V35" s="22"/>
      <c r="W35" s="22"/>
      <c r="X35" s="22"/>
      <c r="Y35" s="22"/>
    </row>
    <row r="36" spans="1:25">
      <c r="A36" s="36" t="s">
        <v>66</v>
      </c>
      <c r="B36" s="54"/>
      <c r="D36" s="22" t="s">
        <v>67</v>
      </c>
      <c r="E36" s="22"/>
      <c r="F36" s="22"/>
      <c r="G36" s="22"/>
      <c r="H36" s="22"/>
      <c r="I36" s="22"/>
      <c r="J36" s="22"/>
      <c r="K36" s="22"/>
      <c r="L36" s="22"/>
      <c r="M36" s="22"/>
      <c r="N36" s="22"/>
      <c r="O36" s="22"/>
      <c r="P36" s="22"/>
      <c r="Q36" s="22"/>
      <c r="R36" s="22"/>
      <c r="S36" s="22"/>
      <c r="T36" s="22"/>
      <c r="U36" s="22"/>
      <c r="V36" s="22"/>
      <c r="W36" s="22"/>
      <c r="X36" s="22"/>
      <c r="Y36" s="22"/>
    </row>
    <row r="37" spans="1:25">
      <c r="A37" s="45" t="s">
        <v>68</v>
      </c>
      <c r="B37" s="51"/>
      <c r="C37" s="48"/>
      <c r="D37" s="22" t="s">
        <v>69</v>
      </c>
      <c r="E37" s="22"/>
      <c r="F37" s="22"/>
      <c r="G37" s="22"/>
      <c r="H37" s="22"/>
      <c r="I37" s="22"/>
      <c r="J37" s="22"/>
      <c r="K37" s="22"/>
      <c r="L37" s="22"/>
      <c r="M37" s="22"/>
      <c r="N37" s="22"/>
      <c r="O37" s="22"/>
      <c r="P37" s="22"/>
      <c r="Q37" s="22"/>
      <c r="R37" s="22"/>
      <c r="S37" s="22"/>
      <c r="T37" s="22"/>
      <c r="U37" s="22"/>
      <c r="V37" s="22"/>
      <c r="W37" s="22"/>
      <c r="X37" s="22"/>
      <c r="Y37" s="22"/>
    </row>
    <row r="38" spans="1:25">
      <c r="A38" s="45" t="s">
        <v>70</v>
      </c>
      <c r="B38" s="51"/>
      <c r="C38" s="55" t="s">
        <v>253</v>
      </c>
      <c r="D38" s="22" t="s">
        <v>71</v>
      </c>
      <c r="E38" s="22"/>
      <c r="F38" s="22"/>
      <c r="G38" s="22"/>
      <c r="H38" s="22"/>
      <c r="I38" s="22"/>
      <c r="J38" s="22"/>
      <c r="K38" s="22"/>
      <c r="L38" s="22"/>
      <c r="M38" s="22"/>
      <c r="N38" s="22"/>
      <c r="O38" s="22"/>
      <c r="P38" s="22"/>
      <c r="Q38" s="22"/>
      <c r="R38" s="22"/>
      <c r="S38" s="22"/>
      <c r="T38" s="22"/>
      <c r="U38" s="22"/>
      <c r="V38" s="22"/>
      <c r="W38" s="22"/>
      <c r="X38" s="22"/>
      <c r="Y38" s="22"/>
    </row>
    <row r="39" spans="1:25">
      <c r="A39" s="36" t="s">
        <v>72</v>
      </c>
      <c r="B39" s="36"/>
      <c r="C39" t="s">
        <v>73</v>
      </c>
      <c r="D39" s="22" t="s">
        <v>74</v>
      </c>
      <c r="E39" s="22"/>
      <c r="F39" s="22"/>
      <c r="G39" s="22"/>
      <c r="H39" s="22"/>
      <c r="I39" s="22"/>
      <c r="J39" s="22"/>
      <c r="K39" s="22"/>
      <c r="L39" s="22"/>
      <c r="M39" s="22"/>
      <c r="N39" s="22"/>
      <c r="O39" s="22"/>
      <c r="P39" s="22"/>
      <c r="Q39" s="22"/>
      <c r="R39" s="22"/>
      <c r="S39" s="22"/>
      <c r="T39" s="22"/>
      <c r="U39" s="22"/>
      <c r="V39" s="22"/>
      <c r="W39" s="22"/>
      <c r="X39" s="22"/>
      <c r="Y39" s="22"/>
    </row>
    <row r="40" spans="1:25">
      <c r="A40" s="36" t="s">
        <v>72</v>
      </c>
      <c r="B40" s="36"/>
      <c r="C40" t="s">
        <v>73</v>
      </c>
      <c r="D40" s="22" t="s">
        <v>75</v>
      </c>
      <c r="E40" s="22"/>
      <c r="F40" s="22"/>
      <c r="G40" s="22"/>
      <c r="H40" s="22"/>
      <c r="I40" s="22"/>
      <c r="J40" s="22"/>
      <c r="K40" s="22"/>
      <c r="L40" s="22"/>
      <c r="M40" s="22"/>
      <c r="N40" s="22"/>
      <c r="O40" s="22"/>
      <c r="P40" s="22"/>
      <c r="Q40" s="22"/>
      <c r="R40" s="22"/>
      <c r="S40" s="22"/>
      <c r="T40" s="22"/>
      <c r="U40" s="22"/>
      <c r="V40" s="22"/>
      <c r="W40" s="22"/>
      <c r="X40" s="22"/>
      <c r="Y40" s="22"/>
    </row>
    <row r="41" spans="1:25">
      <c r="A41" s="148" t="s">
        <v>76</v>
      </c>
      <c r="B41" s="148"/>
      <c r="C41" s="148"/>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9" t="s">
        <v>334</v>
      </c>
      <c r="B42" s="149"/>
      <c r="C42" s="149"/>
      <c r="D42" s="149"/>
      <c r="E42" s="149"/>
      <c r="F42" s="149"/>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G25" sqref="G25"/>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77</v>
      </c>
      <c r="B1" s="56" t="s">
        <v>78</v>
      </c>
      <c r="C1" s="6" t="s">
        <v>79</v>
      </c>
      <c r="D1" s="14"/>
      <c r="E1" s="57" t="s">
        <v>80</v>
      </c>
      <c r="F1" s="6" t="s">
        <v>81</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82</v>
      </c>
      <c r="B2" s="58" t="s">
        <v>83</v>
      </c>
      <c r="C2" s="58" t="s">
        <v>84</v>
      </c>
      <c r="D2" s="1" t="s">
        <v>85</v>
      </c>
      <c r="E2" s="58" t="s">
        <v>86</v>
      </c>
      <c r="F2" s="58" t="s">
        <v>87</v>
      </c>
      <c r="G2" s="58" t="s">
        <v>87</v>
      </c>
      <c r="H2" s="58" t="s">
        <v>88</v>
      </c>
      <c r="I2" s="1" t="s">
        <v>89</v>
      </c>
      <c r="J2" s="1" t="s">
        <v>89</v>
      </c>
      <c r="K2" s="1" t="s">
        <v>90</v>
      </c>
      <c r="L2" s="1" t="s">
        <v>90</v>
      </c>
      <c r="M2" s="58" t="s">
        <v>91</v>
      </c>
      <c r="N2" s="58" t="s">
        <v>92</v>
      </c>
      <c r="O2" s="2"/>
      <c r="P2" s="2"/>
      <c r="Q2" s="2"/>
      <c r="R2" s="2"/>
      <c r="S2" s="2"/>
      <c r="T2" s="2"/>
      <c r="U2" s="2"/>
      <c r="V2" s="2"/>
      <c r="W2" s="2"/>
      <c r="X2" s="2"/>
      <c r="Y2" s="2"/>
      <c r="Z2" s="2"/>
      <c r="AA2" s="2"/>
      <c r="AB2" s="2"/>
      <c r="AMJ2" s="6"/>
    </row>
    <row r="3" spans="1:1024" s="59" customFormat="1" ht="13.5" customHeight="1">
      <c r="A3" s="58" t="s">
        <v>93</v>
      </c>
      <c r="B3" s="58" t="s">
        <v>93</v>
      </c>
      <c r="C3" s="58" t="s">
        <v>93</v>
      </c>
      <c r="D3" s="58" t="s">
        <v>94</v>
      </c>
      <c r="E3" s="58" t="s">
        <v>93</v>
      </c>
      <c r="F3" s="58" t="s">
        <v>93</v>
      </c>
      <c r="G3" s="58" t="s">
        <v>95</v>
      </c>
      <c r="H3" s="58"/>
      <c r="I3" s="58" t="s">
        <v>94</v>
      </c>
      <c r="J3" s="58" t="s">
        <v>93</v>
      </c>
      <c r="K3" s="58" t="s">
        <v>94</v>
      </c>
      <c r="L3" s="58" t="s">
        <v>93</v>
      </c>
      <c r="M3" s="58" t="s">
        <v>93</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96</v>
      </c>
      <c r="F4" s="61" t="s">
        <v>97</v>
      </c>
      <c r="G4" s="60" t="s">
        <v>98</v>
      </c>
      <c r="H4" s="61" t="s">
        <v>97</v>
      </c>
      <c r="I4" s="60" t="s">
        <v>1</v>
      </c>
      <c r="J4" s="60" t="s">
        <v>96</v>
      </c>
      <c r="K4" s="60" t="s">
        <v>1</v>
      </c>
      <c r="L4" s="60" t="s">
        <v>96</v>
      </c>
      <c r="M4" s="60" t="s">
        <v>99</v>
      </c>
      <c r="N4" s="61"/>
      <c r="O4" s="2"/>
      <c r="P4" s="2"/>
      <c r="Q4" s="2"/>
      <c r="R4" s="2"/>
      <c r="S4" s="2"/>
      <c r="T4" s="2"/>
      <c r="U4" s="2"/>
      <c r="V4" s="2"/>
      <c r="W4" s="2"/>
      <c r="X4" s="2"/>
      <c r="Y4" s="2"/>
      <c r="Z4" s="2"/>
      <c r="AA4" s="2"/>
      <c r="AB4" s="2"/>
      <c r="AMJ4" s="6"/>
    </row>
    <row r="5" spans="1:1024">
      <c r="A5" s="140">
        <v>0</v>
      </c>
      <c r="B5" s="140">
        <v>0.06</v>
      </c>
      <c r="C5" s="141">
        <f>AVERAGE(A5:B5)</f>
        <v>0.03</v>
      </c>
      <c r="D5" s="62" t="s">
        <v>314</v>
      </c>
      <c r="E5" s="62">
        <v>0</v>
      </c>
      <c r="F5" s="6">
        <v>0.217</v>
      </c>
      <c r="G5" s="6">
        <v>18.8</v>
      </c>
      <c r="O5" s="9"/>
      <c r="P5" s="9"/>
      <c r="Q5" s="9"/>
      <c r="R5" s="9"/>
      <c r="S5" s="9"/>
      <c r="T5" s="9"/>
      <c r="U5" s="9"/>
      <c r="V5" s="9"/>
      <c r="W5" s="9"/>
      <c r="X5" s="9"/>
      <c r="Y5" s="9"/>
      <c r="Z5" s="9"/>
      <c r="AA5" s="9"/>
      <c r="AB5" s="9"/>
    </row>
    <row r="6" spans="1:1024">
      <c r="A6" s="140">
        <v>0.06</v>
      </c>
      <c r="B6" s="140">
        <v>0.12</v>
      </c>
      <c r="C6" s="141">
        <f t="shared" ref="C6:C25" si="0">AVERAGE(A6:B6)</f>
        <v>0.09</v>
      </c>
      <c r="D6" s="62" t="s">
        <v>315</v>
      </c>
      <c r="E6" s="62">
        <v>0</v>
      </c>
      <c r="F6" s="6">
        <v>0.222</v>
      </c>
      <c r="G6" s="6">
        <v>18.899999999999999</v>
      </c>
      <c r="O6" s="9"/>
      <c r="P6" s="9"/>
      <c r="Q6" s="9"/>
      <c r="R6" s="9"/>
      <c r="S6" s="9"/>
      <c r="T6" s="9"/>
      <c r="U6" s="9"/>
      <c r="V6" s="9"/>
      <c r="W6" s="9"/>
      <c r="X6" s="9"/>
      <c r="Y6" s="9"/>
      <c r="Z6" s="9"/>
      <c r="AA6" s="9"/>
      <c r="AB6" s="9"/>
    </row>
    <row r="7" spans="1:1024">
      <c r="A7" s="140">
        <v>0.12</v>
      </c>
      <c r="B7" s="140">
        <v>0.18</v>
      </c>
      <c r="C7" s="141">
        <f t="shared" si="0"/>
        <v>0.15</v>
      </c>
      <c r="D7" s="62" t="s">
        <v>316</v>
      </c>
      <c r="E7" s="62">
        <v>0</v>
      </c>
      <c r="F7" s="6">
        <v>0.20699999999999999</v>
      </c>
      <c r="G7" s="6">
        <v>18.600000000000001</v>
      </c>
      <c r="O7" s="9"/>
      <c r="P7" s="9"/>
      <c r="Q7" s="9"/>
      <c r="R7" s="9"/>
      <c r="S7" s="9"/>
      <c r="T7" s="9"/>
      <c r="U7" s="9"/>
      <c r="V7" s="9"/>
      <c r="W7" s="9"/>
      <c r="X7" s="9"/>
      <c r="Y7" s="9"/>
      <c r="Z7" s="9"/>
      <c r="AA7" s="9"/>
      <c r="AB7" s="9"/>
    </row>
    <row r="8" spans="1:1024">
      <c r="A8" s="140">
        <v>0.18</v>
      </c>
      <c r="B8" s="140">
        <v>0.22</v>
      </c>
      <c r="C8" s="141">
        <f t="shared" si="0"/>
        <v>0.2</v>
      </c>
      <c r="D8" s="62" t="s">
        <v>317</v>
      </c>
      <c r="E8" s="62">
        <v>0</v>
      </c>
      <c r="F8" s="6">
        <v>0.1852</v>
      </c>
      <c r="G8" s="6">
        <v>18.8</v>
      </c>
      <c r="O8" s="9"/>
      <c r="P8" s="9"/>
      <c r="Q8" s="9"/>
      <c r="R8" s="9"/>
      <c r="S8" s="9"/>
      <c r="T8" s="9"/>
      <c r="U8" s="9"/>
      <c r="V8" s="9"/>
      <c r="W8" s="9"/>
      <c r="X8" s="9"/>
      <c r="Y8" s="9"/>
      <c r="Z8" s="9"/>
      <c r="AA8" s="9"/>
      <c r="AB8" s="9"/>
    </row>
    <row r="9" spans="1:1024">
      <c r="A9" s="140">
        <v>0.22</v>
      </c>
      <c r="B9" s="140">
        <v>0.27</v>
      </c>
      <c r="C9" s="141">
        <f t="shared" si="0"/>
        <v>0.245</v>
      </c>
      <c r="D9" s="62" t="s">
        <v>318</v>
      </c>
      <c r="E9" s="62">
        <v>0</v>
      </c>
      <c r="F9" s="6">
        <v>0.18559999999999999</v>
      </c>
      <c r="G9" s="6">
        <v>18.8</v>
      </c>
      <c r="O9" s="9"/>
      <c r="P9" s="9"/>
      <c r="Q9" s="9"/>
      <c r="R9" s="9"/>
      <c r="S9" s="9"/>
      <c r="T9" s="9"/>
      <c r="U9" s="9"/>
      <c r="V9" s="9"/>
      <c r="W9" s="9"/>
      <c r="X9" s="9"/>
      <c r="Y9" s="9"/>
      <c r="Z9" s="9"/>
      <c r="AA9" s="9"/>
      <c r="AB9" s="9"/>
    </row>
    <row r="10" spans="1:1024">
      <c r="A10" s="140">
        <v>0.27</v>
      </c>
      <c r="B10" s="140">
        <v>0.33</v>
      </c>
      <c r="C10" s="141">
        <f t="shared" si="0"/>
        <v>0.30000000000000004</v>
      </c>
      <c r="D10" s="62">
        <v>1</v>
      </c>
      <c r="E10" s="62">
        <v>0</v>
      </c>
      <c r="F10" s="6">
        <v>0.18640000000000001</v>
      </c>
      <c r="G10" s="6">
        <v>19</v>
      </c>
      <c r="O10" s="9"/>
      <c r="P10" s="9"/>
      <c r="Q10" s="9"/>
      <c r="R10" s="9"/>
      <c r="S10" s="9"/>
      <c r="T10" s="9"/>
      <c r="U10" s="9"/>
      <c r="V10" s="9"/>
      <c r="W10" s="9"/>
      <c r="X10" s="9"/>
      <c r="Y10" s="9"/>
      <c r="Z10" s="9"/>
      <c r="AA10" s="9"/>
      <c r="AB10" s="9"/>
    </row>
    <row r="11" spans="1:1024">
      <c r="A11" s="140">
        <v>0.33</v>
      </c>
      <c r="B11" s="140">
        <v>0.39</v>
      </c>
      <c r="C11" s="141">
        <f t="shared" si="0"/>
        <v>0.36</v>
      </c>
      <c r="D11" s="62">
        <v>2</v>
      </c>
      <c r="E11" s="62">
        <v>0</v>
      </c>
      <c r="F11" s="6">
        <v>0.223</v>
      </c>
      <c r="G11" s="6">
        <v>18</v>
      </c>
      <c r="O11" s="9"/>
      <c r="P11" s="9"/>
      <c r="Q11" s="9"/>
      <c r="R11" s="9"/>
      <c r="S11" s="9"/>
      <c r="T11" s="9"/>
      <c r="U11" s="9"/>
      <c r="V11" s="9"/>
      <c r="W11" s="9"/>
      <c r="X11" s="9"/>
      <c r="Y11" s="9"/>
      <c r="Z11" s="9"/>
      <c r="AA11" s="9"/>
      <c r="AB11" s="9"/>
    </row>
    <row r="12" spans="1:1024">
      <c r="A12" s="140">
        <v>0.39</v>
      </c>
      <c r="B12" s="140">
        <v>0.45</v>
      </c>
      <c r="C12" s="141">
        <f t="shared" si="0"/>
        <v>0.42000000000000004</v>
      </c>
      <c r="D12" s="62">
        <v>3</v>
      </c>
      <c r="E12" s="62">
        <v>0</v>
      </c>
      <c r="F12" s="6">
        <v>0.221</v>
      </c>
      <c r="G12" s="6">
        <v>18.8</v>
      </c>
      <c r="O12" s="9"/>
      <c r="P12" s="9"/>
      <c r="Q12" s="9"/>
      <c r="R12" s="9"/>
      <c r="S12" s="9"/>
      <c r="T12" s="9"/>
      <c r="U12" s="9"/>
      <c r="V12" s="9"/>
      <c r="W12" s="9"/>
      <c r="X12" s="9"/>
      <c r="Y12" s="9"/>
      <c r="Z12" s="9"/>
      <c r="AA12" s="9"/>
      <c r="AB12" s="9"/>
    </row>
    <row r="13" spans="1:1024">
      <c r="A13" s="140">
        <v>0.45</v>
      </c>
      <c r="B13" s="140">
        <v>0.51</v>
      </c>
      <c r="C13" s="141">
        <f t="shared" si="0"/>
        <v>0.48</v>
      </c>
      <c r="D13" s="62">
        <v>4</v>
      </c>
      <c r="E13" s="62">
        <v>0</v>
      </c>
      <c r="F13" s="6">
        <v>0.23</v>
      </c>
      <c r="G13" s="6">
        <v>19.2</v>
      </c>
      <c r="O13" s="9"/>
      <c r="P13" s="9"/>
      <c r="Q13" s="9"/>
      <c r="R13" s="9"/>
      <c r="S13" s="9"/>
      <c r="T13" s="9"/>
      <c r="U13" s="9"/>
      <c r="V13" s="9"/>
      <c r="W13" s="9"/>
      <c r="X13" s="9"/>
      <c r="Y13" s="9"/>
      <c r="Z13" s="9"/>
      <c r="AA13" s="9"/>
      <c r="AB13" s="9"/>
    </row>
    <row r="14" spans="1:1024">
      <c r="A14" s="140">
        <v>0.51</v>
      </c>
      <c r="B14" s="140">
        <v>0.56999999999999995</v>
      </c>
      <c r="C14" s="141">
        <f t="shared" si="0"/>
        <v>0.54</v>
      </c>
      <c r="D14" s="62">
        <v>5</v>
      </c>
      <c r="E14" s="62">
        <v>0</v>
      </c>
      <c r="F14" s="6">
        <v>0.253</v>
      </c>
      <c r="G14" s="6">
        <v>19.2</v>
      </c>
      <c r="O14" s="9"/>
      <c r="P14" s="9"/>
      <c r="Q14" s="9"/>
      <c r="R14" s="9"/>
      <c r="S14" s="9"/>
      <c r="T14" s="9"/>
      <c r="U14" s="9"/>
      <c r="V14" s="9"/>
      <c r="W14" s="9"/>
      <c r="X14" s="9"/>
      <c r="Y14" s="9"/>
      <c r="Z14" s="9"/>
      <c r="AA14" s="9"/>
      <c r="AB14" s="9"/>
    </row>
    <row r="15" spans="1:1024">
      <c r="A15" s="140">
        <v>0.56999999999999995</v>
      </c>
      <c r="B15" s="140">
        <v>0.63</v>
      </c>
      <c r="C15" s="141">
        <f t="shared" si="0"/>
        <v>0.6</v>
      </c>
      <c r="D15" s="62">
        <v>6</v>
      </c>
      <c r="E15" s="62">
        <v>0.1</v>
      </c>
      <c r="F15" s="6">
        <v>0.30299999999999999</v>
      </c>
      <c r="G15" s="6">
        <v>19.2</v>
      </c>
      <c r="O15" s="9"/>
      <c r="P15" s="9"/>
      <c r="Q15" s="9"/>
      <c r="R15" s="9"/>
      <c r="S15" s="9"/>
      <c r="T15" s="9"/>
      <c r="U15" s="9"/>
      <c r="V15" s="9"/>
      <c r="W15" s="9"/>
      <c r="X15" s="9"/>
      <c r="Y15" s="9"/>
      <c r="Z15" s="9"/>
      <c r="AA15" s="9"/>
      <c r="AB15" s="9"/>
    </row>
    <row r="16" spans="1:1024">
      <c r="A16" s="140">
        <v>0.63</v>
      </c>
      <c r="B16" s="140">
        <v>0.69</v>
      </c>
      <c r="C16" s="141">
        <f t="shared" si="0"/>
        <v>0.65999999999999992</v>
      </c>
      <c r="D16" s="62">
        <v>7</v>
      </c>
      <c r="E16" s="62">
        <v>0.1</v>
      </c>
      <c r="F16" s="6">
        <v>0.33200000000000002</v>
      </c>
      <c r="G16" s="6">
        <v>17.5</v>
      </c>
      <c r="O16" s="9"/>
      <c r="P16" s="9"/>
      <c r="Q16" s="9"/>
      <c r="R16" s="9"/>
      <c r="S16" s="9"/>
      <c r="T16" s="9"/>
      <c r="U16" s="9"/>
      <c r="V16" s="9"/>
      <c r="W16" s="9"/>
      <c r="X16" s="9"/>
      <c r="Y16" s="9"/>
      <c r="Z16" s="9"/>
      <c r="AA16" s="9"/>
      <c r="AB16" s="9"/>
    </row>
    <row r="17" spans="1:28">
      <c r="A17" s="140">
        <v>0.69</v>
      </c>
      <c r="B17" s="140">
        <v>0.75</v>
      </c>
      <c r="C17" s="141">
        <f t="shared" si="0"/>
        <v>0.72</v>
      </c>
      <c r="D17" s="62">
        <v>8</v>
      </c>
      <c r="E17" s="62">
        <v>0.1</v>
      </c>
      <c r="F17" s="6">
        <v>0.39400000000000002</v>
      </c>
      <c r="G17" s="6">
        <v>14.7</v>
      </c>
      <c r="O17" s="9"/>
      <c r="P17" s="9"/>
      <c r="Q17" s="9"/>
      <c r="R17" s="9"/>
      <c r="S17" s="9"/>
      <c r="T17" s="9"/>
      <c r="U17" s="9"/>
      <c r="V17" s="9"/>
      <c r="W17" s="9"/>
      <c r="X17" s="9"/>
      <c r="Y17" s="9"/>
      <c r="Z17" s="9"/>
      <c r="AA17" s="9"/>
      <c r="AB17" s="9"/>
    </row>
    <row r="18" spans="1:28">
      <c r="A18" s="140">
        <v>0.75</v>
      </c>
      <c r="B18" s="140">
        <v>0.81</v>
      </c>
      <c r="C18" s="141">
        <f t="shared" si="0"/>
        <v>0.78</v>
      </c>
      <c r="D18" s="62">
        <v>9</v>
      </c>
      <c r="E18" s="62">
        <v>0.1</v>
      </c>
      <c r="F18" s="6">
        <v>0.41899999999999998</v>
      </c>
      <c r="G18" s="6">
        <v>19.2</v>
      </c>
      <c r="O18" s="9"/>
      <c r="P18" s="9"/>
      <c r="Q18" s="9"/>
      <c r="R18" s="9"/>
      <c r="S18" s="9"/>
      <c r="T18" s="9"/>
      <c r="U18" s="9"/>
      <c r="V18" s="9"/>
      <c r="W18" s="9"/>
      <c r="X18" s="9"/>
      <c r="Y18" s="9"/>
      <c r="Z18" s="9"/>
      <c r="AA18" s="9"/>
      <c r="AB18" s="9"/>
    </row>
    <row r="19" spans="1:28">
      <c r="A19" s="140">
        <v>0.81</v>
      </c>
      <c r="B19" s="140">
        <v>0.87</v>
      </c>
      <c r="C19" s="141">
        <f t="shared" si="0"/>
        <v>0.84000000000000008</v>
      </c>
      <c r="D19" s="62">
        <v>10</v>
      </c>
      <c r="E19" s="62">
        <v>0.1</v>
      </c>
      <c r="F19" s="6">
        <v>0.46600000000000003</v>
      </c>
      <c r="G19" s="6">
        <v>14.6</v>
      </c>
      <c r="O19" s="9"/>
      <c r="P19" s="9"/>
      <c r="Q19" s="9"/>
      <c r="R19" s="9"/>
      <c r="S19" s="9"/>
      <c r="T19" s="9"/>
      <c r="U19" s="9"/>
      <c r="V19" s="9"/>
      <c r="W19" s="9"/>
      <c r="X19" s="9"/>
      <c r="Y19" s="9"/>
      <c r="Z19" s="9"/>
      <c r="AA19" s="9"/>
      <c r="AB19" s="9"/>
    </row>
    <row r="20" spans="1:28">
      <c r="A20" s="140">
        <v>0.87</v>
      </c>
      <c r="B20" s="140">
        <v>0.93</v>
      </c>
      <c r="C20" s="141">
        <f t="shared" si="0"/>
        <v>0.9</v>
      </c>
      <c r="D20" s="62">
        <v>11</v>
      </c>
      <c r="E20" s="62">
        <v>0.2</v>
      </c>
      <c r="F20" s="6">
        <v>0.51300000000000001</v>
      </c>
      <c r="G20" s="6">
        <v>16.600000000000001</v>
      </c>
      <c r="O20" s="9"/>
      <c r="P20" s="9"/>
      <c r="Q20" s="9"/>
      <c r="R20" s="9"/>
      <c r="S20" s="9"/>
      <c r="T20" s="9"/>
      <c r="U20" s="9"/>
      <c r="V20" s="9"/>
      <c r="W20" s="9"/>
      <c r="X20" s="9"/>
      <c r="Y20" s="9"/>
      <c r="Z20" s="9"/>
      <c r="AA20" s="9"/>
      <c r="AB20" s="9"/>
    </row>
    <row r="21" spans="1:28">
      <c r="A21" s="140">
        <v>0.93</v>
      </c>
      <c r="B21" s="140">
        <v>0.99</v>
      </c>
      <c r="C21" s="141">
        <f t="shared" si="0"/>
        <v>0.96</v>
      </c>
      <c r="D21" s="62">
        <v>17</v>
      </c>
      <c r="E21" s="62">
        <v>0.1</v>
      </c>
      <c r="F21" s="6">
        <v>0.41899999999999998</v>
      </c>
      <c r="G21" s="6">
        <v>11.3</v>
      </c>
      <c r="O21" s="9"/>
      <c r="P21" s="9"/>
      <c r="Q21" s="9"/>
      <c r="R21" s="9"/>
      <c r="S21" s="9"/>
      <c r="T21" s="9"/>
      <c r="U21" s="9"/>
      <c r="V21" s="9"/>
      <c r="W21" s="9"/>
      <c r="X21" s="9"/>
      <c r="Y21" s="9"/>
      <c r="Z21" s="9"/>
      <c r="AA21" s="9"/>
      <c r="AB21" s="9"/>
    </row>
    <row r="22" spans="1:28">
      <c r="A22" s="140">
        <v>0.99</v>
      </c>
      <c r="B22" s="140">
        <v>1.08</v>
      </c>
      <c r="C22" s="141">
        <f t="shared" si="0"/>
        <v>1.0350000000000001</v>
      </c>
      <c r="D22" s="62">
        <v>18</v>
      </c>
      <c r="E22" s="62">
        <v>0</v>
      </c>
      <c r="F22" s="6">
        <v>0.23799999999999999</v>
      </c>
      <c r="G22" s="6">
        <v>18.7</v>
      </c>
      <c r="O22" s="9"/>
      <c r="P22" s="9"/>
      <c r="Q22" s="9"/>
      <c r="R22" s="9"/>
      <c r="S22" s="9"/>
      <c r="T22" s="9"/>
      <c r="U22" s="9"/>
      <c r="V22" s="9"/>
      <c r="W22" s="9"/>
      <c r="X22" s="9"/>
      <c r="Y22" s="9"/>
      <c r="Z22" s="9"/>
      <c r="AA22" s="9"/>
      <c r="AB22" s="9"/>
    </row>
    <row r="23" spans="1:28">
      <c r="A23" s="140">
        <f>B22+0</f>
        <v>1.08</v>
      </c>
      <c r="B23" s="140">
        <f>A23+0.07</f>
        <v>1.1500000000000001</v>
      </c>
      <c r="C23" s="141">
        <f t="shared" si="0"/>
        <v>1.1150000000000002</v>
      </c>
      <c r="D23" s="62">
        <v>14</v>
      </c>
      <c r="E23" s="62">
        <v>0.1</v>
      </c>
      <c r="F23" s="6">
        <v>0.39600000000000002</v>
      </c>
      <c r="G23" s="6">
        <v>15.9</v>
      </c>
      <c r="N23" s="6" t="s">
        <v>313</v>
      </c>
      <c r="O23" s="9"/>
      <c r="P23" s="9"/>
      <c r="Q23" s="9"/>
      <c r="R23" s="9"/>
      <c r="S23" s="9"/>
      <c r="T23" s="9"/>
      <c r="U23" s="9"/>
      <c r="V23" s="9"/>
      <c r="W23" s="9"/>
      <c r="X23" s="9"/>
      <c r="Y23" s="9"/>
      <c r="Z23" s="9"/>
      <c r="AA23" s="9"/>
      <c r="AB23" s="9"/>
    </row>
    <row r="24" spans="1:28">
      <c r="A24" s="140">
        <f>B23</f>
        <v>1.1500000000000001</v>
      </c>
      <c r="B24" s="140">
        <f>A24+0.04</f>
        <v>1.1900000000000002</v>
      </c>
      <c r="C24" s="141">
        <f t="shared" si="0"/>
        <v>1.1700000000000002</v>
      </c>
      <c r="D24" s="62">
        <v>13</v>
      </c>
      <c r="E24" s="62">
        <v>0.1</v>
      </c>
      <c r="F24" s="6">
        <v>0.439</v>
      </c>
      <c r="G24" s="6">
        <v>19.100000000000001</v>
      </c>
      <c r="N24" s="6" t="s">
        <v>313</v>
      </c>
      <c r="O24" s="9"/>
      <c r="P24" s="9"/>
      <c r="Q24" s="9"/>
      <c r="R24" s="9"/>
      <c r="S24" s="9"/>
      <c r="T24" s="9"/>
      <c r="U24" s="9"/>
      <c r="V24" s="9"/>
      <c r="W24" s="9"/>
      <c r="X24" s="9"/>
      <c r="Y24" s="9"/>
      <c r="Z24" s="9"/>
      <c r="AA24" s="9"/>
      <c r="AB24" s="9"/>
    </row>
    <row r="25" spans="1:28">
      <c r="A25" s="142">
        <f>B24</f>
        <v>1.1900000000000002</v>
      </c>
      <c r="B25" s="141">
        <f>A25+0.05</f>
        <v>1.2400000000000002</v>
      </c>
      <c r="C25" s="141">
        <f t="shared" si="0"/>
        <v>1.2150000000000003</v>
      </c>
      <c r="D25" s="6">
        <v>12</v>
      </c>
      <c r="E25" s="62">
        <v>0.2</v>
      </c>
      <c r="F25" s="6">
        <v>0.52800000000000002</v>
      </c>
      <c r="G25" s="6">
        <v>17.5</v>
      </c>
      <c r="N25" s="6" t="s">
        <v>313</v>
      </c>
      <c r="O25" s="9"/>
      <c r="P25" s="9"/>
      <c r="Q25" s="9"/>
      <c r="R25" s="9"/>
      <c r="S25" s="9"/>
      <c r="T25" s="9"/>
      <c r="U25" s="9"/>
      <c r="V25" s="9"/>
      <c r="W25" s="9"/>
      <c r="X25" s="9"/>
      <c r="Y25" s="9"/>
      <c r="Z25" s="9"/>
      <c r="AA25" s="9"/>
      <c r="AB25" s="9"/>
    </row>
    <row r="26" spans="1:28">
      <c r="A26" s="142"/>
      <c r="B26" s="141"/>
      <c r="C26" s="141"/>
      <c r="E26" s="62"/>
      <c r="O26" s="9"/>
      <c r="P26" s="9"/>
      <c r="Q26" s="9"/>
      <c r="R26" s="9"/>
      <c r="S26" s="9"/>
      <c r="T26" s="9"/>
      <c r="U26" s="9"/>
      <c r="V26" s="9"/>
      <c r="W26" s="9"/>
      <c r="X26" s="9"/>
      <c r="Y26" s="9"/>
      <c r="Z26" s="9"/>
      <c r="AA26" s="9"/>
      <c r="AB26" s="9"/>
    </row>
    <row r="27" spans="1:28" ht="26.1" customHeight="1">
      <c r="A27" s="142"/>
      <c r="B27" s="141"/>
      <c r="C27" s="141"/>
      <c r="E27" s="62"/>
      <c r="O27" s="2"/>
      <c r="P27" s="2"/>
      <c r="Q27" s="2"/>
      <c r="R27" s="2"/>
      <c r="S27" s="2"/>
      <c r="T27" s="2"/>
      <c r="U27" s="2"/>
      <c r="V27" s="2"/>
      <c r="W27" s="2"/>
      <c r="X27" s="2"/>
      <c r="Y27" s="2"/>
      <c r="Z27" s="2"/>
      <c r="AA27" s="2"/>
      <c r="AB27" s="2"/>
    </row>
    <row r="28" spans="1:28">
      <c r="A28" s="142"/>
      <c r="B28" s="141"/>
      <c r="C28" s="141"/>
      <c r="E28" s="62"/>
      <c r="O28" s="2"/>
      <c r="P28" s="2"/>
      <c r="Q28" s="2"/>
      <c r="R28" s="2"/>
      <c r="S28" s="2"/>
      <c r="T28" s="2"/>
      <c r="U28" s="2"/>
      <c r="V28" s="2"/>
      <c r="W28" s="2"/>
      <c r="X28" s="2"/>
      <c r="Y28" s="2"/>
      <c r="Z28" s="2"/>
      <c r="AA28" s="2"/>
      <c r="AB28" s="2"/>
    </row>
    <row r="29" spans="1:28">
      <c r="A29" s="142"/>
      <c r="B29" s="141"/>
      <c r="C29" s="141"/>
      <c r="E29" s="62"/>
      <c r="O29" s="9"/>
      <c r="P29" s="9"/>
      <c r="Q29" s="9"/>
      <c r="R29" s="9"/>
      <c r="S29" s="9"/>
      <c r="T29" s="9"/>
      <c r="U29" s="9"/>
      <c r="V29" s="9"/>
      <c r="W29" s="9"/>
      <c r="X29" s="9"/>
      <c r="Y29" s="9"/>
      <c r="Z29" s="9"/>
      <c r="AA29" s="9"/>
      <c r="AB29" s="9"/>
    </row>
    <row r="30" spans="1:28">
      <c r="A30" s="142"/>
      <c r="B30" s="141"/>
      <c r="C30" s="141"/>
      <c r="E30" s="62"/>
      <c r="O30" s="9"/>
      <c r="P30" s="9"/>
      <c r="Q30" s="9"/>
      <c r="R30" s="9"/>
      <c r="S30" s="9"/>
      <c r="T30" s="9"/>
      <c r="U30" s="9"/>
      <c r="V30" s="9"/>
      <c r="W30" s="9"/>
      <c r="X30" s="9"/>
      <c r="Y30" s="9"/>
      <c r="Z30" s="9"/>
      <c r="AA30" s="9"/>
      <c r="AB30" s="9"/>
    </row>
    <row r="31" spans="1:28">
      <c r="A31" s="142"/>
      <c r="B31" s="141"/>
      <c r="C31" s="141"/>
      <c r="E31" s="62"/>
      <c r="O31" s="9"/>
      <c r="P31" s="9"/>
      <c r="Q31" s="9"/>
      <c r="R31" s="9"/>
      <c r="S31" s="9"/>
      <c r="T31" s="9"/>
      <c r="U31" s="9"/>
      <c r="V31" s="9"/>
      <c r="W31" s="9"/>
      <c r="X31" s="9"/>
      <c r="Y31" s="9"/>
      <c r="Z31" s="9"/>
      <c r="AA31" s="9"/>
      <c r="AB31" s="9"/>
    </row>
    <row r="32" spans="1:28">
      <c r="A32" s="142"/>
      <c r="B32" s="141"/>
      <c r="C32" s="141"/>
      <c r="E32" s="62"/>
      <c r="O32" s="9"/>
      <c r="P32" s="9"/>
      <c r="Q32" s="9"/>
      <c r="R32" s="9"/>
      <c r="S32" s="9"/>
      <c r="T32" s="9"/>
      <c r="U32" s="9"/>
      <c r="V32" s="9"/>
      <c r="W32" s="9"/>
      <c r="X32" s="9"/>
      <c r="Y32" s="9"/>
      <c r="Z32" s="9"/>
      <c r="AA32" s="9"/>
      <c r="AB32" s="9"/>
    </row>
    <row r="33" spans="1:28">
      <c r="A33" s="142"/>
      <c r="B33" s="141"/>
      <c r="C33" s="141"/>
      <c r="E33" s="62"/>
      <c r="O33" s="9"/>
      <c r="P33" s="9"/>
      <c r="Q33" s="9"/>
      <c r="R33" s="9"/>
      <c r="S33" s="9"/>
      <c r="T33" s="9"/>
      <c r="U33" s="9"/>
      <c r="V33" s="9"/>
      <c r="W33" s="9"/>
      <c r="X33" s="9"/>
      <c r="Y33" s="9"/>
      <c r="Z33" s="9"/>
      <c r="AA33" s="9"/>
      <c r="AB33" s="9"/>
    </row>
    <row r="34" spans="1:28">
      <c r="A34" s="142"/>
      <c r="B34" s="141"/>
      <c r="C34" s="141"/>
      <c r="E34" s="62"/>
      <c r="O34" s="9"/>
      <c r="P34" s="9"/>
      <c r="Q34" s="9"/>
      <c r="R34" s="9"/>
      <c r="S34" s="9"/>
      <c r="T34" s="9"/>
      <c r="U34" s="9"/>
      <c r="V34" s="9"/>
      <c r="W34" s="9"/>
      <c r="X34" s="9"/>
      <c r="Y34" s="9"/>
      <c r="Z34" s="9"/>
      <c r="AA34" s="9"/>
      <c r="AB34" s="9"/>
    </row>
    <row r="35" spans="1:28">
      <c r="A35" s="142"/>
      <c r="B35" s="141"/>
      <c r="C35" s="141"/>
      <c r="E35" s="62"/>
      <c r="O35" s="9"/>
      <c r="P35" s="9"/>
      <c r="Q35" s="9"/>
      <c r="R35" s="9"/>
      <c r="S35" s="9"/>
      <c r="T35" s="9"/>
      <c r="U35" s="9"/>
      <c r="V35" s="9"/>
      <c r="W35" s="9"/>
      <c r="X35" s="9"/>
      <c r="Y35" s="9"/>
      <c r="Z35" s="9"/>
      <c r="AA35" s="9"/>
      <c r="AB35" s="9"/>
    </row>
    <row r="36" spans="1:28">
      <c r="A36" s="142"/>
      <c r="B36" s="141"/>
      <c r="C36" s="141"/>
      <c r="E36" s="62"/>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4"/>
      <c r="F46" s="154"/>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G18" sqref="G18"/>
    </sheetView>
  </sheetViews>
  <sheetFormatPr defaultColWidth="8.85546875" defaultRowHeight="12"/>
  <cols>
    <col min="1" max="1" width="19.42578125" customWidth="1"/>
    <col min="2" max="5" width="13.7109375" customWidth="1"/>
  </cols>
  <sheetData>
    <row r="1" spans="1:26">
      <c r="A1" s="63" t="s">
        <v>77</v>
      </c>
      <c r="B1" s="64" t="s">
        <v>78</v>
      </c>
      <c r="C1" t="s">
        <v>79</v>
      </c>
      <c r="D1" s="65" t="s">
        <v>80</v>
      </c>
      <c r="E1" t="s">
        <v>81</v>
      </c>
      <c r="F1" s="22"/>
      <c r="G1" s="22"/>
      <c r="H1" s="22"/>
      <c r="I1" s="22"/>
      <c r="J1" s="22"/>
      <c r="K1" s="22"/>
      <c r="L1" s="22"/>
      <c r="M1" s="22"/>
      <c r="N1" s="22"/>
      <c r="O1" s="22"/>
      <c r="P1" s="22"/>
      <c r="Q1" s="22"/>
      <c r="R1" s="22"/>
      <c r="S1" s="22"/>
      <c r="T1" s="22"/>
      <c r="U1" s="22"/>
      <c r="V1" s="22"/>
      <c r="W1" s="22"/>
      <c r="X1" s="22"/>
      <c r="Y1" s="22"/>
      <c r="Z1" s="22"/>
    </row>
    <row r="2" spans="1:26" ht="16.5" customHeight="1">
      <c r="A2" s="66" t="s">
        <v>84</v>
      </c>
      <c r="B2" s="66" t="s">
        <v>100</v>
      </c>
      <c r="C2" s="156" t="s">
        <v>92</v>
      </c>
      <c r="D2" s="156"/>
      <c r="E2" s="156"/>
      <c r="F2" s="67"/>
      <c r="G2" s="67"/>
      <c r="H2" s="67"/>
      <c r="I2" s="67"/>
      <c r="J2" s="67"/>
      <c r="K2" s="67"/>
      <c r="L2" s="67"/>
      <c r="M2" s="67"/>
      <c r="N2" s="67"/>
      <c r="O2" s="67"/>
      <c r="P2" s="67"/>
      <c r="Q2" s="67"/>
      <c r="R2" s="67"/>
      <c r="S2" s="67"/>
      <c r="T2" s="67"/>
      <c r="U2" s="67"/>
      <c r="V2" s="67"/>
      <c r="W2" s="67"/>
      <c r="X2" s="67"/>
      <c r="Y2" s="67"/>
      <c r="Z2" s="67"/>
    </row>
    <row r="3" spans="1:26">
      <c r="A3" s="68" t="s">
        <v>8</v>
      </c>
      <c r="B3" s="68" t="s">
        <v>98</v>
      </c>
      <c r="C3" s="157" t="s">
        <v>1</v>
      </c>
      <c r="D3" s="157"/>
      <c r="E3" s="157"/>
      <c r="F3" s="67"/>
      <c r="G3" s="67"/>
      <c r="H3" s="67"/>
      <c r="I3" s="67"/>
      <c r="J3" s="67"/>
      <c r="K3" s="67"/>
      <c r="L3" s="67"/>
      <c r="M3" s="67"/>
      <c r="N3" s="67"/>
      <c r="O3" s="67"/>
      <c r="P3" s="67"/>
      <c r="Q3" s="67"/>
      <c r="R3" s="67"/>
      <c r="S3" s="67"/>
      <c r="T3" s="67"/>
      <c r="U3" s="67"/>
      <c r="V3" s="67"/>
      <c r="W3" s="67"/>
      <c r="X3" s="67"/>
      <c r="Y3" s="67"/>
      <c r="Z3" s="67"/>
    </row>
    <row r="4" spans="1:26" ht="15.75">
      <c r="A4" s="69"/>
      <c r="B4" s="69"/>
      <c r="C4" s="155"/>
      <c r="D4" s="155"/>
      <c r="E4" s="155"/>
      <c r="F4" s="22"/>
      <c r="G4" s="22"/>
      <c r="H4" s="22"/>
      <c r="I4" s="22"/>
      <c r="J4" s="22"/>
      <c r="K4" s="22"/>
      <c r="L4" s="22"/>
      <c r="M4" s="22"/>
      <c r="N4" s="22"/>
      <c r="O4" s="22"/>
      <c r="P4" s="22"/>
      <c r="Q4" s="22"/>
      <c r="R4" s="22"/>
      <c r="S4" s="22"/>
      <c r="T4" s="22"/>
      <c r="U4" s="22"/>
      <c r="V4" s="22"/>
      <c r="W4" s="22"/>
      <c r="X4" s="22"/>
      <c r="Y4" s="22"/>
      <c r="Z4" s="22"/>
    </row>
    <row r="5" spans="1:26" ht="15.75">
      <c r="A5" s="69"/>
      <c r="B5" s="69"/>
      <c r="C5" s="155"/>
      <c r="D5" s="155"/>
      <c r="E5" s="155"/>
      <c r="F5" s="22"/>
      <c r="G5" s="22"/>
      <c r="H5" s="22"/>
      <c r="I5" s="22"/>
      <c r="J5" s="22"/>
      <c r="K5" s="22"/>
      <c r="L5" s="22"/>
      <c r="M5" s="22"/>
      <c r="N5" s="22"/>
      <c r="O5" s="22"/>
      <c r="P5" s="22"/>
      <c r="Q5" s="22"/>
      <c r="R5" s="22"/>
      <c r="S5" s="22"/>
      <c r="T5" s="22"/>
      <c r="U5" s="22"/>
      <c r="V5" s="22"/>
      <c r="W5" s="22"/>
      <c r="X5" s="22"/>
      <c r="Y5" s="22"/>
      <c r="Z5" s="22"/>
    </row>
    <row r="6" spans="1:26" ht="15.75">
      <c r="A6" s="69"/>
      <c r="B6" s="69"/>
      <c r="C6" s="155"/>
      <c r="D6" s="155"/>
      <c r="E6" s="155"/>
      <c r="F6" s="22"/>
      <c r="G6" s="22"/>
      <c r="H6" s="22"/>
      <c r="I6" s="22"/>
      <c r="J6" s="22"/>
      <c r="K6" s="22"/>
      <c r="L6" s="22"/>
      <c r="M6" s="22"/>
      <c r="N6" s="22"/>
      <c r="O6" s="22"/>
      <c r="P6" s="22"/>
      <c r="Q6" s="22"/>
      <c r="R6" s="22"/>
      <c r="S6" s="22"/>
      <c r="T6" s="22"/>
      <c r="U6" s="22"/>
      <c r="V6" s="22"/>
      <c r="W6" s="22"/>
      <c r="X6" s="22"/>
      <c r="Y6" s="22"/>
      <c r="Z6" s="22"/>
    </row>
    <row r="7" spans="1:26" ht="15.75">
      <c r="A7" s="69"/>
      <c r="B7" s="69"/>
      <c r="C7" s="155"/>
      <c r="D7" s="155"/>
      <c r="E7" s="155"/>
      <c r="F7" s="22"/>
      <c r="G7" s="22"/>
      <c r="H7" s="22"/>
      <c r="I7" s="22"/>
      <c r="J7" s="22"/>
      <c r="K7" s="22"/>
      <c r="L7" s="22"/>
      <c r="M7" s="22"/>
      <c r="N7" s="22"/>
      <c r="O7" s="22"/>
      <c r="P7" s="22"/>
      <c r="Q7" s="22"/>
      <c r="R7" s="22"/>
      <c r="S7" s="22"/>
      <c r="T7" s="22"/>
      <c r="U7" s="22"/>
      <c r="V7" s="22"/>
      <c r="W7" s="22"/>
      <c r="X7" s="22"/>
      <c r="Y7" s="22"/>
      <c r="Z7" s="22"/>
    </row>
    <row r="8" spans="1:26" ht="15.75">
      <c r="A8" s="69"/>
      <c r="B8" s="69"/>
      <c r="C8" s="155"/>
      <c r="D8" s="155"/>
      <c r="E8" s="155"/>
      <c r="F8" s="22"/>
      <c r="G8" s="22"/>
      <c r="H8" s="22"/>
      <c r="I8" s="22"/>
      <c r="J8" s="22"/>
      <c r="K8" s="22"/>
      <c r="L8" s="22"/>
      <c r="M8" s="22"/>
      <c r="N8" s="22"/>
      <c r="O8" s="22"/>
      <c r="P8" s="22"/>
      <c r="Q8" s="22"/>
      <c r="R8" s="22"/>
      <c r="S8" s="22"/>
      <c r="T8" s="22"/>
      <c r="U8" s="22"/>
      <c r="V8" s="22"/>
      <c r="W8" s="22"/>
      <c r="X8" s="22"/>
      <c r="Y8" s="22"/>
      <c r="Z8" s="22"/>
    </row>
    <row r="9" spans="1:26" ht="15.75">
      <c r="A9" s="69"/>
      <c r="B9" s="69"/>
      <c r="C9" s="155"/>
      <c r="D9" s="155"/>
      <c r="E9" s="155"/>
      <c r="F9" s="22"/>
      <c r="G9" s="22"/>
      <c r="H9" s="22"/>
      <c r="I9" s="22"/>
      <c r="J9" s="22"/>
      <c r="K9" s="22"/>
      <c r="L9" s="22"/>
      <c r="M9" s="22"/>
      <c r="N9" s="22"/>
      <c r="O9" s="22"/>
      <c r="P9" s="22"/>
      <c r="Q9" s="22"/>
      <c r="R9" s="22"/>
      <c r="S9" s="22"/>
      <c r="T9" s="22"/>
      <c r="U9" s="22"/>
      <c r="V9" s="22"/>
      <c r="W9" s="22"/>
      <c r="X9" s="22"/>
      <c r="Y9" s="22"/>
      <c r="Z9" s="22"/>
    </row>
    <row r="10" spans="1:26" ht="15.75">
      <c r="A10" s="69"/>
      <c r="B10" s="69"/>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50"/>
  <sheetViews>
    <sheetView zoomScale="85" zoomScaleNormal="85" workbookViewId="0">
      <selection activeCell="L25" sqref="L25"/>
    </sheetView>
  </sheetViews>
  <sheetFormatPr defaultColWidth="10.7109375" defaultRowHeight="14.25"/>
  <cols>
    <col min="1" max="5" width="13.7109375" style="6" customWidth="1"/>
    <col min="6" max="6" width="26.7109375" style="6" customWidth="1"/>
    <col min="7" max="1025" width="10.7109375" style="6"/>
  </cols>
  <sheetData>
    <row r="1" spans="1:26" ht="15">
      <c r="A1" s="13" t="s">
        <v>77</v>
      </c>
      <c r="B1" s="57" t="s">
        <v>78</v>
      </c>
      <c r="C1" s="6" t="s">
        <v>79</v>
      </c>
      <c r="D1" s="57" t="s">
        <v>80</v>
      </c>
      <c r="E1" s="6" t="s">
        <v>81</v>
      </c>
      <c r="F1" s="1"/>
      <c r="G1" s="2"/>
      <c r="H1" s="9"/>
      <c r="I1" s="9"/>
      <c r="J1" s="9"/>
      <c r="K1" s="9"/>
      <c r="L1" s="9"/>
      <c r="M1" s="9"/>
      <c r="N1" s="9"/>
      <c r="O1" s="9"/>
      <c r="P1" s="9"/>
      <c r="Q1" s="9"/>
      <c r="R1" s="9"/>
      <c r="S1" s="9"/>
      <c r="T1" s="9"/>
      <c r="U1" s="9"/>
      <c r="V1" s="9"/>
      <c r="W1" s="9"/>
      <c r="X1" s="9"/>
      <c r="Y1" s="9"/>
      <c r="Z1" s="9"/>
    </row>
    <row r="2" spans="1:26" ht="13.5" customHeight="1">
      <c r="A2" s="1" t="s">
        <v>82</v>
      </c>
      <c r="B2" s="1" t="s">
        <v>83</v>
      </c>
      <c r="C2" s="1" t="s">
        <v>101</v>
      </c>
      <c r="D2" s="159" t="s">
        <v>102</v>
      </c>
      <c r="E2" s="159"/>
      <c r="F2" s="1" t="s">
        <v>92</v>
      </c>
      <c r="G2" s="2"/>
      <c r="H2" s="2"/>
      <c r="I2" s="2"/>
      <c r="J2" s="2"/>
      <c r="K2" s="2"/>
      <c r="L2" s="2"/>
      <c r="M2" s="2"/>
      <c r="N2" s="2"/>
      <c r="O2" s="2"/>
      <c r="P2" s="2"/>
      <c r="Q2" s="2"/>
      <c r="R2" s="2"/>
      <c r="S2" s="2"/>
      <c r="T2" s="2"/>
      <c r="U2" s="2"/>
      <c r="V2" s="2"/>
      <c r="W2" s="2"/>
      <c r="X2" s="2"/>
      <c r="Y2" s="2"/>
      <c r="Z2" s="2"/>
    </row>
    <row r="3" spans="1:26">
      <c r="A3" s="70" t="s">
        <v>8</v>
      </c>
      <c r="B3" s="70" t="s">
        <v>8</v>
      </c>
      <c r="C3" s="71" t="s">
        <v>8</v>
      </c>
      <c r="D3" s="160" t="s">
        <v>103</v>
      </c>
      <c r="E3" s="160"/>
      <c r="F3" s="71" t="s">
        <v>1</v>
      </c>
      <c r="G3" s="2"/>
      <c r="H3" s="2"/>
      <c r="I3" s="2"/>
      <c r="J3" s="2"/>
      <c r="K3" s="2"/>
      <c r="L3" s="2"/>
      <c r="M3" s="2"/>
      <c r="N3" s="2"/>
      <c r="O3" s="2"/>
      <c r="P3" s="2"/>
      <c r="Q3" s="2"/>
      <c r="R3" s="2"/>
      <c r="S3" s="2"/>
      <c r="T3" s="2"/>
      <c r="U3" s="2"/>
      <c r="V3" s="2"/>
      <c r="W3" s="2"/>
      <c r="X3" s="2"/>
      <c r="Y3" s="2"/>
      <c r="Z3" s="2"/>
    </row>
    <row r="4" spans="1:26">
      <c r="A4" s="62">
        <v>0</v>
      </c>
      <c r="B4" s="62">
        <v>1.08</v>
      </c>
      <c r="D4" s="158"/>
      <c r="E4" s="158"/>
      <c r="F4" s="6" t="s">
        <v>328</v>
      </c>
      <c r="G4" s="9"/>
      <c r="H4" s="9"/>
      <c r="I4" s="9"/>
      <c r="J4" s="9"/>
      <c r="K4" s="9"/>
      <c r="L4" s="9"/>
      <c r="M4" s="9"/>
      <c r="N4" s="9"/>
      <c r="O4" s="9"/>
      <c r="P4" s="9"/>
      <c r="Q4" s="9"/>
      <c r="R4" s="9"/>
      <c r="S4" s="9"/>
      <c r="T4" s="9"/>
      <c r="U4" s="9"/>
      <c r="V4" s="9"/>
      <c r="W4" s="9"/>
      <c r="X4" s="9"/>
      <c r="Y4" s="9"/>
      <c r="Z4" s="9"/>
    </row>
    <row r="5" spans="1:26">
      <c r="A5" s="6">
        <v>1.08</v>
      </c>
      <c r="B5" s="6">
        <f>A5+0.16</f>
        <v>1.24</v>
      </c>
      <c r="D5" s="158"/>
      <c r="E5" s="158"/>
      <c r="F5" s="6" t="s">
        <v>327</v>
      </c>
      <c r="G5" s="9"/>
      <c r="H5" s="9"/>
      <c r="I5" s="9"/>
      <c r="J5" s="9"/>
      <c r="K5" s="9"/>
      <c r="L5" s="9"/>
      <c r="M5" s="9"/>
      <c r="N5" s="9"/>
      <c r="O5" s="9"/>
      <c r="P5" s="9"/>
      <c r="Q5" s="9"/>
      <c r="R5" s="9"/>
      <c r="S5" s="9"/>
      <c r="T5" s="9"/>
      <c r="U5" s="9"/>
      <c r="V5" s="9"/>
      <c r="W5" s="9"/>
      <c r="X5" s="9"/>
      <c r="Y5" s="9"/>
      <c r="Z5" s="9"/>
    </row>
    <row r="6" spans="1:26">
      <c r="B6" s="6">
        <v>0.21</v>
      </c>
      <c r="D6" s="158" t="s">
        <v>178</v>
      </c>
      <c r="E6" s="158"/>
      <c r="G6" s="9"/>
      <c r="H6" s="9"/>
      <c r="I6" s="9"/>
      <c r="J6" s="9"/>
      <c r="K6" s="9"/>
      <c r="L6" s="9"/>
      <c r="M6" s="9"/>
      <c r="N6" s="9"/>
      <c r="O6" s="9"/>
      <c r="P6" s="9"/>
      <c r="Q6" s="9"/>
      <c r="R6" s="9"/>
      <c r="S6" s="9"/>
      <c r="T6" s="9"/>
      <c r="U6" s="9"/>
      <c r="V6" s="9"/>
      <c r="W6" s="9"/>
      <c r="X6" s="9"/>
      <c r="Y6" s="9"/>
      <c r="Z6" s="9"/>
    </row>
    <row r="7" spans="1:26">
      <c r="B7" s="6">
        <v>0.49</v>
      </c>
      <c r="C7"/>
      <c r="D7" s="158" t="s">
        <v>178</v>
      </c>
      <c r="E7" s="158"/>
      <c r="F7"/>
      <c r="G7" s="9"/>
      <c r="H7" s="9"/>
      <c r="I7" s="9"/>
      <c r="J7" s="9"/>
      <c r="K7" s="9"/>
      <c r="L7" s="9"/>
      <c r="M7" s="9"/>
      <c r="N7" s="9"/>
      <c r="O7" s="9"/>
      <c r="P7" s="9"/>
      <c r="Q7" s="9"/>
      <c r="R7" s="9"/>
      <c r="S7" s="9"/>
      <c r="T7" s="9"/>
      <c r="U7" s="9"/>
      <c r="V7" s="9"/>
      <c r="W7" s="9"/>
      <c r="X7" s="9"/>
      <c r="Y7" s="9"/>
      <c r="Z7" s="9"/>
    </row>
    <row r="8" spans="1:26">
      <c r="A8" s="62"/>
      <c r="B8" s="6">
        <v>0.87</v>
      </c>
      <c r="D8" s="158" t="s">
        <v>178</v>
      </c>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59"/>
      <c r="E14" s="59"/>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v>0</v>
      </c>
      <c r="B16" s="6">
        <v>0.12</v>
      </c>
      <c r="D16" s="158"/>
      <c r="E16" s="158"/>
      <c r="F16" s="6" t="s">
        <v>336</v>
      </c>
      <c r="G16" s="9"/>
      <c r="H16" s="9"/>
      <c r="I16" s="9"/>
      <c r="J16" s="9"/>
      <c r="K16" s="9"/>
      <c r="L16" s="9"/>
      <c r="M16" s="9"/>
      <c r="N16" s="9"/>
      <c r="O16" s="9"/>
      <c r="P16" s="9"/>
      <c r="Q16" s="9"/>
      <c r="R16" s="9"/>
      <c r="S16" s="9"/>
      <c r="T16" s="9"/>
      <c r="U16" s="9"/>
      <c r="V16" s="9"/>
      <c r="W16" s="9"/>
      <c r="X16" s="9"/>
      <c r="Y16" s="9"/>
      <c r="Z16" s="9"/>
    </row>
    <row r="17" spans="1:26">
      <c r="A17" s="62">
        <v>0.12</v>
      </c>
      <c r="B17" s="6">
        <v>0.21</v>
      </c>
      <c r="D17" s="158"/>
      <c r="E17" s="158"/>
      <c r="F17" s="6" t="s">
        <v>337</v>
      </c>
      <c r="G17" s="9"/>
      <c r="H17" s="9"/>
      <c r="I17" s="9"/>
      <c r="J17" s="9"/>
      <c r="K17" s="9"/>
      <c r="L17" s="9"/>
      <c r="M17" s="9"/>
      <c r="N17" s="9"/>
      <c r="O17" s="9"/>
      <c r="P17" s="9"/>
      <c r="Q17" s="9"/>
      <c r="R17" s="9"/>
      <c r="S17" s="9"/>
      <c r="T17" s="9"/>
      <c r="U17" s="9"/>
      <c r="V17" s="9"/>
      <c r="W17" s="9"/>
      <c r="X17" s="9"/>
      <c r="Y17" s="9"/>
      <c r="Z17" s="9"/>
    </row>
    <row r="18" spans="1:26">
      <c r="A18" s="62">
        <v>0.21</v>
      </c>
      <c r="B18" s="6">
        <v>0.33</v>
      </c>
      <c r="D18" s="158"/>
      <c r="E18" s="158"/>
      <c r="F18" s="6" t="s">
        <v>338</v>
      </c>
      <c r="G18" s="9"/>
      <c r="H18" s="9"/>
      <c r="I18" s="9"/>
      <c r="J18" s="9"/>
      <c r="K18" s="9"/>
      <c r="L18" s="9"/>
      <c r="M18" s="9"/>
      <c r="N18" s="9"/>
      <c r="O18" s="9"/>
      <c r="P18" s="9"/>
      <c r="Q18" s="9"/>
      <c r="R18" s="9"/>
      <c r="S18" s="9"/>
      <c r="T18" s="9"/>
      <c r="U18" s="9"/>
      <c r="V18" s="9"/>
      <c r="W18" s="9"/>
      <c r="X18" s="9"/>
      <c r="Y18" s="9"/>
      <c r="Z18" s="9"/>
    </row>
    <row r="19" spans="1:26">
      <c r="A19" s="62">
        <v>0.33</v>
      </c>
      <c r="B19" s="6">
        <v>0.45</v>
      </c>
      <c r="D19" s="158"/>
      <c r="E19" s="158"/>
      <c r="F19" s="6" t="s">
        <v>339</v>
      </c>
      <c r="G19" s="9"/>
      <c r="H19" s="9"/>
      <c r="I19" s="9"/>
      <c r="J19" s="9"/>
      <c r="K19" s="9"/>
      <c r="L19" s="9"/>
      <c r="M19" s="9"/>
      <c r="N19" s="9"/>
      <c r="O19" s="9"/>
      <c r="P19" s="9"/>
      <c r="Q19" s="9"/>
      <c r="R19" s="9"/>
      <c r="S19" s="9"/>
      <c r="T19" s="9"/>
      <c r="U19" s="9"/>
      <c r="V19" s="9"/>
      <c r="W19" s="9"/>
      <c r="X19" s="9"/>
      <c r="Y19" s="9"/>
      <c r="Z19" s="9"/>
    </row>
    <row r="20" spans="1:26">
      <c r="A20" s="62">
        <v>0.51</v>
      </c>
      <c r="B20" s="6">
        <v>0.63</v>
      </c>
      <c r="D20" s="158"/>
      <c r="E20" s="158"/>
      <c r="F20" s="6" t="s">
        <v>340</v>
      </c>
      <c r="G20" s="9"/>
      <c r="H20" s="9"/>
      <c r="I20" s="9"/>
      <c r="J20" s="9"/>
      <c r="K20" s="9"/>
      <c r="L20" s="9"/>
      <c r="M20" s="9"/>
      <c r="N20" s="9"/>
      <c r="O20" s="9"/>
      <c r="P20" s="9"/>
      <c r="Q20" s="9"/>
      <c r="R20" s="9"/>
      <c r="S20" s="9"/>
      <c r="T20" s="9"/>
      <c r="U20" s="9"/>
      <c r="V20" s="9"/>
      <c r="W20" s="9"/>
      <c r="X20" s="9"/>
      <c r="Y20" s="9"/>
      <c r="Z20" s="9"/>
    </row>
    <row r="21" spans="1:26">
      <c r="A21" s="62">
        <v>0.63</v>
      </c>
      <c r="B21" s="6">
        <v>0.75</v>
      </c>
      <c r="D21" s="158"/>
      <c r="E21" s="158"/>
      <c r="F21" s="6" t="s">
        <v>341</v>
      </c>
      <c r="G21" s="9"/>
      <c r="H21" s="9"/>
      <c r="I21" s="9"/>
      <c r="J21" s="9"/>
      <c r="K21" s="9"/>
      <c r="L21" s="9"/>
      <c r="M21" s="9"/>
      <c r="N21" s="9"/>
      <c r="O21" s="9"/>
      <c r="P21" s="9"/>
      <c r="Q21" s="9"/>
      <c r="R21" s="9"/>
      <c r="S21" s="9"/>
      <c r="T21" s="9"/>
      <c r="U21" s="9"/>
      <c r="V21" s="9"/>
      <c r="W21" s="9"/>
      <c r="X21" s="9"/>
      <c r="Y21" s="9"/>
      <c r="Z21" s="9"/>
    </row>
    <row r="22" spans="1:26">
      <c r="A22" s="62">
        <v>0.75</v>
      </c>
      <c r="B22" s="6">
        <v>0.87</v>
      </c>
      <c r="D22" s="158"/>
      <c r="E22" s="158"/>
      <c r="F22" s="6" t="s">
        <v>342</v>
      </c>
      <c r="G22" s="9"/>
      <c r="H22" s="9"/>
      <c r="I22" s="9"/>
      <c r="J22" s="9"/>
      <c r="K22" s="9"/>
      <c r="L22" s="9"/>
      <c r="M22" s="9"/>
      <c r="N22" s="9"/>
      <c r="O22" s="9"/>
      <c r="P22" s="9"/>
      <c r="Q22" s="9"/>
      <c r="R22" s="9"/>
      <c r="S22" s="9"/>
      <c r="T22" s="9"/>
      <c r="U22" s="9"/>
      <c r="V22" s="9"/>
      <c r="W22" s="9"/>
      <c r="X22" s="9"/>
      <c r="Y22" s="9"/>
      <c r="Z22" s="9"/>
    </row>
    <row r="23" spans="1:26">
      <c r="A23" s="62">
        <v>0.87</v>
      </c>
      <c r="B23" s="6">
        <v>0.99</v>
      </c>
      <c r="D23" s="158"/>
      <c r="E23" s="158"/>
      <c r="F23" s="6" t="s">
        <v>343</v>
      </c>
      <c r="G23" s="9"/>
      <c r="H23" s="9"/>
      <c r="I23" s="9"/>
      <c r="J23" s="9"/>
      <c r="K23" s="9"/>
      <c r="L23" s="9"/>
      <c r="M23" s="9"/>
      <c r="N23" s="9"/>
      <c r="O23" s="9"/>
      <c r="P23" s="9"/>
      <c r="Q23" s="9"/>
      <c r="R23" s="9"/>
      <c r="S23" s="9"/>
      <c r="T23" s="9"/>
      <c r="U23" s="9"/>
      <c r="V23" s="9"/>
      <c r="W23" s="9"/>
      <c r="X23" s="9"/>
      <c r="Y23" s="9"/>
      <c r="Z23" s="9"/>
    </row>
    <row r="24" spans="1:26">
      <c r="A24" s="62">
        <v>0.99</v>
      </c>
      <c r="B24" s="6">
        <v>1.08</v>
      </c>
      <c r="D24" s="158"/>
      <c r="E24" s="158"/>
      <c r="F24" s="6" t="s">
        <v>344</v>
      </c>
      <c r="G24" s="9"/>
      <c r="H24" s="9"/>
      <c r="I24" s="9"/>
      <c r="J24" s="9"/>
      <c r="K24" s="9"/>
      <c r="L24" s="9"/>
      <c r="M24" s="9"/>
      <c r="N24" s="9"/>
      <c r="O24" s="9"/>
      <c r="P24" s="9"/>
      <c r="Q24" s="9"/>
      <c r="R24" s="9"/>
      <c r="S24" s="9"/>
      <c r="T24" s="9"/>
      <c r="U24" s="9"/>
      <c r="V24" s="9"/>
      <c r="W24" s="9"/>
      <c r="X24" s="9"/>
      <c r="Y24" s="9"/>
      <c r="Z24" s="9"/>
    </row>
    <row r="25" spans="1:26">
      <c r="A25" s="62">
        <v>1.1499999999999999</v>
      </c>
      <c r="B25" s="6">
        <v>1.24</v>
      </c>
      <c r="D25" s="158"/>
      <c r="E25" s="158"/>
      <c r="F25" s="6" t="s">
        <v>345</v>
      </c>
      <c r="G25" s="9"/>
      <c r="H25" s="9"/>
      <c r="I25" s="9"/>
      <c r="J25" s="9"/>
      <c r="K25" s="9"/>
      <c r="L25" s="9"/>
      <c r="M25" s="9"/>
      <c r="N25" s="9"/>
      <c r="O25" s="9"/>
      <c r="P25" s="9"/>
      <c r="Q25" s="9"/>
      <c r="R25" s="9"/>
      <c r="S25" s="9"/>
      <c r="T25" s="9"/>
      <c r="U25" s="9"/>
      <c r="V25" s="9"/>
      <c r="W25" s="9"/>
      <c r="X25" s="9"/>
      <c r="Y25" s="9"/>
      <c r="Z25" s="9"/>
    </row>
    <row r="26" spans="1:26">
      <c r="A26" s="62"/>
      <c r="D26" s="158"/>
      <c r="E26" s="158"/>
      <c r="G26" s="9"/>
      <c r="H26" s="9"/>
      <c r="I26" s="9"/>
      <c r="J26" s="9"/>
      <c r="K26" s="9"/>
      <c r="L26" s="9"/>
      <c r="M26" s="9"/>
      <c r="N26" s="9"/>
      <c r="O26" s="9"/>
      <c r="P26" s="9"/>
      <c r="Q26" s="9"/>
      <c r="R26" s="9"/>
      <c r="S26" s="9"/>
      <c r="T26" s="9"/>
      <c r="U26" s="9"/>
      <c r="V26" s="9"/>
      <c r="W26" s="9"/>
      <c r="X26" s="9"/>
      <c r="Y26" s="9"/>
      <c r="Z26" s="9"/>
    </row>
    <row r="27" spans="1:26">
      <c r="A27" s="62"/>
      <c r="B27" s="62"/>
      <c r="D27" s="158"/>
      <c r="E27" s="158"/>
      <c r="G27" s="9"/>
      <c r="H27" s="9"/>
      <c r="I27" s="9"/>
      <c r="J27" s="9"/>
      <c r="K27" s="9"/>
      <c r="L27" s="9"/>
      <c r="M27" s="9"/>
      <c r="N27" s="9"/>
      <c r="O27" s="9"/>
      <c r="P27" s="9"/>
      <c r="Q27" s="9"/>
      <c r="R27" s="9"/>
      <c r="S27" s="9"/>
      <c r="T27" s="9"/>
      <c r="U27" s="9"/>
      <c r="V27" s="9"/>
      <c r="W27" s="9"/>
      <c r="X27" s="9"/>
      <c r="Y27" s="9"/>
      <c r="Z27" s="9"/>
    </row>
    <row r="28" spans="1:26">
      <c r="A28" s="62"/>
      <c r="D28" s="158"/>
      <c r="E28" s="158"/>
      <c r="G28" s="9"/>
      <c r="H28" s="9"/>
      <c r="I28" s="9"/>
      <c r="J28" s="9"/>
      <c r="K28" s="9"/>
      <c r="L28" s="9"/>
      <c r="M28" s="9"/>
      <c r="N28" s="9"/>
      <c r="O28" s="9"/>
      <c r="P28" s="9"/>
      <c r="Q28" s="9"/>
      <c r="R28" s="9"/>
      <c r="S28" s="9"/>
      <c r="T28" s="9"/>
      <c r="U28" s="9"/>
      <c r="V28" s="9"/>
      <c r="W28" s="9"/>
      <c r="X28" s="9"/>
      <c r="Y28" s="9"/>
      <c r="Z28" s="9"/>
    </row>
    <row r="29" spans="1:26" ht="13.5" customHeight="1">
      <c r="A29" s="62"/>
      <c r="B29" s="59"/>
      <c r="C29" s="59"/>
      <c r="D29" s="158"/>
      <c r="E29" s="158"/>
      <c r="F29" s="59"/>
      <c r="G29" s="2"/>
      <c r="H29" s="2"/>
      <c r="I29" s="2"/>
      <c r="J29" s="2"/>
      <c r="K29" s="2"/>
      <c r="L29" s="2"/>
      <c r="M29" s="2"/>
      <c r="N29" s="2"/>
      <c r="O29" s="2"/>
      <c r="P29" s="2"/>
      <c r="Q29" s="2"/>
      <c r="R29" s="2"/>
      <c r="S29" s="2"/>
      <c r="T29" s="2"/>
      <c r="U29" s="2"/>
      <c r="V29" s="2"/>
      <c r="W29" s="2"/>
      <c r="X29" s="2"/>
      <c r="Y29" s="2"/>
      <c r="Z29" s="2"/>
    </row>
    <row r="30" spans="1:26">
      <c r="A30" s="62"/>
      <c r="B30" s="59"/>
      <c r="C30" s="59"/>
      <c r="D30" s="158"/>
      <c r="E30" s="158"/>
      <c r="F30" s="59"/>
      <c r="G30" s="2"/>
      <c r="H30" s="2"/>
      <c r="I30" s="2"/>
      <c r="J30" s="2"/>
      <c r="K30" s="2"/>
      <c r="L30" s="2"/>
      <c r="M30" s="2"/>
      <c r="N30" s="2"/>
      <c r="O30" s="2"/>
      <c r="P30" s="2"/>
      <c r="Q30" s="2"/>
      <c r="R30" s="2"/>
      <c r="S30" s="2"/>
      <c r="T30" s="2"/>
      <c r="U30" s="2"/>
      <c r="V30" s="2"/>
      <c r="W30" s="2"/>
      <c r="X30" s="2"/>
      <c r="Y30" s="2"/>
      <c r="Z30" s="2"/>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62"/>
      <c r="D47" s="158"/>
      <c r="E47" s="158"/>
      <c r="G47" s="9"/>
      <c r="H47" s="9"/>
      <c r="I47" s="9"/>
      <c r="J47" s="9"/>
      <c r="K47" s="9"/>
      <c r="L47" s="9"/>
      <c r="M47" s="9"/>
      <c r="N47" s="9"/>
      <c r="O47" s="9"/>
      <c r="P47" s="9"/>
      <c r="Q47" s="9"/>
      <c r="R47" s="9"/>
      <c r="S47" s="9"/>
      <c r="T47" s="9"/>
      <c r="U47" s="9"/>
      <c r="V47" s="9"/>
      <c r="W47" s="9"/>
      <c r="X47" s="9"/>
      <c r="Y47" s="9"/>
      <c r="Z47" s="9"/>
    </row>
    <row r="48" spans="1:26">
      <c r="A48" s="62"/>
      <c r="D48" s="158"/>
      <c r="E48" s="158"/>
      <c r="G48" s="9"/>
      <c r="H48" s="9"/>
      <c r="I48" s="9"/>
      <c r="J48" s="9"/>
      <c r="K48" s="9"/>
      <c r="L48" s="9"/>
      <c r="M48" s="9"/>
      <c r="N48" s="9"/>
      <c r="O48" s="9"/>
      <c r="P48" s="9"/>
      <c r="Q48" s="9"/>
      <c r="R48" s="9"/>
      <c r="S48" s="9"/>
      <c r="T48" s="9"/>
      <c r="U48" s="9"/>
      <c r="V48" s="9"/>
      <c r="W48" s="9"/>
      <c r="X48" s="9"/>
      <c r="Y48" s="9"/>
      <c r="Z48" s="9"/>
    </row>
    <row r="49" spans="1:26">
      <c r="A49" s="62"/>
      <c r="D49" s="158"/>
      <c r="E49" s="158"/>
      <c r="G49" s="9"/>
      <c r="H49" s="9"/>
      <c r="I49" s="9"/>
      <c r="J49" s="9"/>
      <c r="K49" s="9"/>
      <c r="L49" s="9"/>
      <c r="M49" s="9"/>
      <c r="N49" s="9"/>
      <c r="O49" s="9"/>
      <c r="P49" s="9"/>
      <c r="Q49" s="9"/>
      <c r="R49" s="9"/>
      <c r="S49" s="9"/>
      <c r="T49" s="9"/>
      <c r="U49" s="9"/>
      <c r="V49" s="9"/>
      <c r="W49" s="9"/>
      <c r="X49" s="9"/>
      <c r="Y49" s="9"/>
      <c r="Z49" s="9"/>
    </row>
    <row r="50" spans="1:26">
      <c r="A50" s="9"/>
      <c r="B50" s="9"/>
      <c r="C50" s="9"/>
      <c r="D50" s="154"/>
      <c r="E50" s="154"/>
      <c r="F50" s="9"/>
      <c r="G50" s="9"/>
      <c r="H50" s="9"/>
      <c r="I50" s="9"/>
      <c r="J50" s="9"/>
      <c r="K50" s="9"/>
      <c r="L50" s="9"/>
      <c r="M50" s="9"/>
      <c r="N50" s="9"/>
      <c r="O50" s="9"/>
      <c r="P50" s="9"/>
      <c r="Q50" s="9"/>
      <c r="R50" s="9"/>
      <c r="S50" s="9"/>
      <c r="T50" s="9"/>
      <c r="U50" s="9"/>
      <c r="V50" s="9"/>
      <c r="W50" s="9"/>
      <c r="X50" s="9"/>
      <c r="Y50" s="9"/>
      <c r="Z50" s="9"/>
    </row>
  </sheetData>
  <mergeCells count="48">
    <mergeCell ref="D2:E2"/>
    <mergeCell ref="D3:E3"/>
    <mergeCell ref="D4:E4"/>
    <mergeCell ref="D5:E5"/>
    <mergeCell ref="D6:E6"/>
    <mergeCell ref="D7:E7"/>
    <mergeCell ref="D8:E8"/>
    <mergeCell ref="D9:E9"/>
    <mergeCell ref="D10:E10"/>
    <mergeCell ref="D11:E11"/>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8:E38"/>
    <mergeCell ref="D39:E39"/>
    <mergeCell ref="D30:E30"/>
    <mergeCell ref="D31:E31"/>
    <mergeCell ref="D32:E32"/>
    <mergeCell ref="D33:E33"/>
    <mergeCell ref="D34:E34"/>
    <mergeCell ref="D13:E13"/>
    <mergeCell ref="D12:E12"/>
    <mergeCell ref="D50:E50"/>
    <mergeCell ref="D45:E45"/>
    <mergeCell ref="D46:E46"/>
    <mergeCell ref="D47:E47"/>
    <mergeCell ref="D48:E48"/>
    <mergeCell ref="D49:E49"/>
    <mergeCell ref="D40:E40"/>
    <mergeCell ref="D41:E41"/>
    <mergeCell ref="D42:E42"/>
    <mergeCell ref="D43:E43"/>
    <mergeCell ref="D44:E44"/>
    <mergeCell ref="D35:E35"/>
    <mergeCell ref="D36:E36"/>
    <mergeCell ref="D37:E37"/>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D4:E49</xm:sqref>
        </x14:dataValidation>
        <x14:dataValidation type="list" allowBlank="1" showInputMessage="1" showErrorMessage="1" xr:uid="{00000000-0002-0000-0400-000003000000}">
          <x14:formula1>
            <xm:f>lists!$F44:$F68</xm:f>
          </x14:formula1>
          <x14:formula2>
            <xm:f>0</xm:f>
          </x14:formula2>
          <xm:sqref>D50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77</v>
      </c>
      <c r="B1" s="57" t="s">
        <v>78</v>
      </c>
      <c r="C1" s="6" t="s">
        <v>79</v>
      </c>
      <c r="D1" s="57" t="s">
        <v>80</v>
      </c>
      <c r="E1" s="6" t="s">
        <v>81</v>
      </c>
      <c r="F1" s="14"/>
      <c r="G1" s="14"/>
      <c r="H1" s="14"/>
      <c r="I1" s="14"/>
      <c r="J1" s="14"/>
      <c r="K1" s="14"/>
      <c r="L1" s="14"/>
      <c r="M1" s="9"/>
      <c r="N1" s="9"/>
      <c r="O1" s="9"/>
      <c r="P1" s="9"/>
      <c r="Q1" s="9"/>
      <c r="R1" s="9"/>
      <c r="S1" s="9"/>
      <c r="T1" s="9"/>
      <c r="U1" s="9"/>
      <c r="V1" s="9"/>
      <c r="W1" s="9"/>
      <c r="X1" s="9"/>
      <c r="Y1" s="9"/>
      <c r="Z1" s="9"/>
    </row>
    <row r="2" spans="1:1024" s="59" customFormat="1" ht="45">
      <c r="A2" s="1" t="s">
        <v>82</v>
      </c>
      <c r="B2" s="1" t="s">
        <v>83</v>
      </c>
      <c r="C2" s="1" t="s">
        <v>84</v>
      </c>
      <c r="D2" s="1" t="s">
        <v>104</v>
      </c>
      <c r="E2" s="1" t="s">
        <v>105</v>
      </c>
      <c r="F2" s="1" t="s">
        <v>106</v>
      </c>
      <c r="G2" s="1" t="s">
        <v>107</v>
      </c>
      <c r="H2" s="1" t="s">
        <v>108</v>
      </c>
      <c r="I2" s="1" t="s">
        <v>109</v>
      </c>
      <c r="J2" s="1" t="s">
        <v>110</v>
      </c>
      <c r="K2" s="1" t="s">
        <v>91</v>
      </c>
      <c r="L2" s="1" t="s">
        <v>111</v>
      </c>
      <c r="M2" s="2"/>
      <c r="N2" s="2"/>
      <c r="O2" s="2"/>
      <c r="P2" s="2"/>
      <c r="Q2" s="2"/>
      <c r="R2" s="2"/>
      <c r="S2" s="2"/>
      <c r="T2" s="2"/>
      <c r="U2" s="2"/>
      <c r="V2" s="2"/>
      <c r="W2" s="2"/>
      <c r="X2" s="2"/>
      <c r="Y2" s="2"/>
      <c r="Z2" s="2"/>
      <c r="AMI2" s="6"/>
      <c r="AMJ2" s="6"/>
    </row>
    <row r="3" spans="1:1024">
      <c r="A3" s="60" t="s">
        <v>8</v>
      </c>
      <c r="B3" s="60" t="s">
        <v>8</v>
      </c>
      <c r="C3" s="60" t="s">
        <v>8</v>
      </c>
      <c r="D3" s="60"/>
      <c r="E3" s="61" t="s">
        <v>112</v>
      </c>
      <c r="F3" s="60" t="s">
        <v>8</v>
      </c>
      <c r="G3" s="61" t="s">
        <v>8</v>
      </c>
      <c r="H3" s="60" t="s">
        <v>8</v>
      </c>
      <c r="I3" s="60" t="s">
        <v>8</v>
      </c>
      <c r="J3" s="60" t="s">
        <v>8</v>
      </c>
      <c r="K3" s="60" t="s">
        <v>113</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27" sqref="H2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9" width="10.85546875" style="6" customWidth="1"/>
    <col min="10" max="10" width="14.28515625" style="6" customWidth="1"/>
    <col min="11" max="11" width="9.140625" style="6"/>
    <col min="12" max="12" width="13.42578125" style="6" customWidth="1"/>
    <col min="13" max="1025" width="9.140625" style="6"/>
  </cols>
  <sheetData>
    <row r="1" spans="1:1024" ht="15">
      <c r="A1" s="13" t="s">
        <v>77</v>
      </c>
      <c r="B1" s="57" t="s">
        <v>78</v>
      </c>
      <c r="C1" s="6" t="s">
        <v>79</v>
      </c>
      <c r="D1" s="57" t="s">
        <v>80</v>
      </c>
      <c r="E1" s="6" t="s">
        <v>81</v>
      </c>
      <c r="F1" s="14"/>
      <c r="G1" s="14"/>
      <c r="H1" s="14"/>
      <c r="I1" s="9"/>
      <c r="J1" s="9"/>
      <c r="K1" s="9"/>
      <c r="L1" s="9"/>
      <c r="M1" s="9"/>
      <c r="N1" s="9"/>
      <c r="O1" s="9"/>
      <c r="P1" s="9"/>
      <c r="Q1" s="9"/>
      <c r="R1" s="9"/>
      <c r="S1" s="9"/>
      <c r="T1" s="9"/>
      <c r="U1" s="9"/>
      <c r="V1" s="9"/>
    </row>
    <row r="2" spans="1:1024" s="59" customFormat="1" ht="45">
      <c r="A2" s="1" t="s">
        <v>82</v>
      </c>
      <c r="B2" s="1" t="s">
        <v>83</v>
      </c>
      <c r="C2" s="1" t="s">
        <v>84</v>
      </c>
      <c r="D2" s="1" t="s">
        <v>114</v>
      </c>
      <c r="E2" s="1" t="s">
        <v>115</v>
      </c>
      <c r="F2" s="1" t="s">
        <v>116</v>
      </c>
      <c r="G2" s="1" t="s">
        <v>91</v>
      </c>
      <c r="H2" s="1" t="s">
        <v>111</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148</v>
      </c>
      <c r="F3" s="60" t="s">
        <v>148</v>
      </c>
      <c r="G3" s="60" t="s">
        <v>293</v>
      </c>
      <c r="H3" s="61" t="s">
        <v>1</v>
      </c>
      <c r="I3" s="9"/>
      <c r="J3" s="9"/>
      <c r="K3" s="9"/>
      <c r="L3" s="9"/>
      <c r="M3" s="9"/>
      <c r="N3" s="9"/>
      <c r="O3" s="9"/>
      <c r="P3" s="9"/>
      <c r="Q3" s="9"/>
      <c r="R3" s="9"/>
      <c r="S3" s="9"/>
      <c r="T3" s="9"/>
      <c r="U3" s="9"/>
      <c r="V3" s="9"/>
    </row>
    <row r="4" spans="1:1024">
      <c r="A4" s="140">
        <v>0</v>
      </c>
      <c r="B4" s="140">
        <v>0.06</v>
      </c>
      <c r="C4" s="141">
        <f>AVERAGE(A4:B4)</f>
        <v>0.03</v>
      </c>
      <c r="D4" s="62" t="s">
        <v>314</v>
      </c>
      <c r="E4" s="6">
        <v>147.97999999999999</v>
      </c>
      <c r="F4" s="6">
        <v>7.4</v>
      </c>
      <c r="G4" s="6">
        <f>0.8355*E4/(E4-F4)</f>
        <v>0.87947994024754594</v>
      </c>
      <c r="H4" s="6" t="s">
        <v>310</v>
      </c>
      <c r="I4" s="9"/>
      <c r="J4" s="9"/>
      <c r="K4" s="9"/>
      <c r="L4" s="9"/>
      <c r="M4" s="143"/>
      <c r="N4" s="9"/>
      <c r="O4" s="9"/>
      <c r="P4" s="9"/>
      <c r="Q4" s="9"/>
      <c r="R4" s="9"/>
      <c r="S4" s="9"/>
      <c r="T4" s="9"/>
      <c r="U4" s="9"/>
      <c r="V4" s="9"/>
    </row>
    <row r="5" spans="1:1024">
      <c r="A5" s="140">
        <v>0.06</v>
      </c>
      <c r="B5" s="140">
        <v>0.12</v>
      </c>
      <c r="C5" s="141">
        <f t="shared" ref="C5:C24" si="0">AVERAGE(A5:B5)</f>
        <v>0.09</v>
      </c>
      <c r="D5" s="62" t="s">
        <v>315</v>
      </c>
      <c r="E5" s="6">
        <v>158.6</v>
      </c>
      <c r="F5" s="6">
        <v>6.2</v>
      </c>
      <c r="G5" s="6">
        <f t="shared" ref="G5:G7" si="1">0.8355*E5/(E5-F5)</f>
        <v>0.86949015748031488</v>
      </c>
      <c r="H5" s="6" t="s">
        <v>310</v>
      </c>
      <c r="I5" s="9"/>
      <c r="J5" s="9"/>
      <c r="K5" s="9"/>
      <c r="L5" s="9"/>
      <c r="M5" s="143"/>
      <c r="N5" s="9"/>
      <c r="O5" s="9"/>
      <c r="P5" s="9"/>
      <c r="Q5" s="9"/>
      <c r="R5" s="9"/>
      <c r="S5" s="9"/>
      <c r="T5" s="9"/>
      <c r="U5" s="9"/>
      <c r="V5" s="9"/>
    </row>
    <row r="6" spans="1:1024">
      <c r="A6" s="140">
        <v>0.12</v>
      </c>
      <c r="B6" s="140">
        <v>0.18</v>
      </c>
      <c r="C6" s="141">
        <f t="shared" si="0"/>
        <v>0.15</v>
      </c>
      <c r="D6" s="62" t="s">
        <v>316</v>
      </c>
      <c r="E6" s="6">
        <v>150.69999999999999</v>
      </c>
      <c r="F6" s="6">
        <v>1.1000000000000001</v>
      </c>
      <c r="G6" s="6">
        <f t="shared" si="1"/>
        <v>0.84164338235294112</v>
      </c>
      <c r="H6" s="6" t="s">
        <v>322</v>
      </c>
      <c r="I6" s="9"/>
      <c r="J6" s="9"/>
      <c r="K6" s="9"/>
      <c r="L6" s="9"/>
      <c r="M6" s="143"/>
      <c r="N6" s="9"/>
      <c r="O6" s="9"/>
      <c r="P6" s="9"/>
      <c r="Q6" s="9"/>
      <c r="R6" s="9"/>
      <c r="S6" s="9"/>
      <c r="T6" s="9"/>
      <c r="U6" s="9"/>
      <c r="V6" s="9"/>
    </row>
    <row r="7" spans="1:1024">
      <c r="A7" s="140">
        <v>0.18</v>
      </c>
      <c r="B7" s="140">
        <v>0.22</v>
      </c>
      <c r="C7" s="141">
        <f t="shared" si="0"/>
        <v>0.2</v>
      </c>
      <c r="D7" s="62" t="s">
        <v>317</v>
      </c>
      <c r="E7" s="6">
        <v>102</v>
      </c>
      <c r="F7" s="6">
        <v>0.5</v>
      </c>
      <c r="G7" s="6">
        <f t="shared" si="1"/>
        <v>0.83961576354679801</v>
      </c>
      <c r="H7" s="6" t="s">
        <v>322</v>
      </c>
      <c r="I7" s="9"/>
      <c r="J7" s="9"/>
      <c r="K7" s="9"/>
      <c r="L7" s="9"/>
      <c r="M7" s="143"/>
      <c r="N7" s="9"/>
      <c r="O7" s="9"/>
      <c r="P7" s="9"/>
      <c r="Q7" s="9"/>
      <c r="R7" s="9"/>
      <c r="S7" s="9"/>
      <c r="T7" s="9"/>
      <c r="U7" s="9"/>
      <c r="V7" s="9"/>
    </row>
    <row r="8" spans="1:1024">
      <c r="A8" s="140">
        <v>0.22</v>
      </c>
      <c r="B8" s="140">
        <v>0.27</v>
      </c>
      <c r="C8" s="141">
        <f t="shared" si="0"/>
        <v>0.245</v>
      </c>
      <c r="D8" s="62" t="s">
        <v>318</v>
      </c>
      <c r="E8" s="6">
        <v>207.3</v>
      </c>
      <c r="F8" s="6" t="s">
        <v>321</v>
      </c>
      <c r="G8" s="6">
        <f>0.8355</f>
        <v>0.83550000000000002</v>
      </c>
      <c r="H8" s="6" t="s">
        <v>323</v>
      </c>
      <c r="I8" s="9"/>
      <c r="J8" s="9"/>
      <c r="K8" s="9"/>
      <c r="L8" s="9"/>
      <c r="M8" s="143"/>
      <c r="N8" s="9"/>
      <c r="O8" s="9"/>
      <c r="P8" s="9"/>
      <c r="Q8" s="9"/>
      <c r="R8" s="9"/>
      <c r="S8" s="9"/>
      <c r="T8" s="9"/>
      <c r="U8" s="9"/>
      <c r="V8" s="9"/>
    </row>
    <row r="9" spans="1:1024">
      <c r="A9" s="140">
        <v>0.27</v>
      </c>
      <c r="B9" s="140">
        <v>0.33</v>
      </c>
      <c r="C9" s="141">
        <f t="shared" si="0"/>
        <v>0.30000000000000004</v>
      </c>
      <c r="D9" s="62">
        <v>1</v>
      </c>
      <c r="E9" s="6">
        <v>199.66</v>
      </c>
      <c r="F9" s="6" t="s">
        <v>321</v>
      </c>
      <c r="G9" s="6">
        <f t="shared" ref="G9:G10" si="2">0.8355</f>
        <v>0.83550000000000002</v>
      </c>
      <c r="H9" s="6" t="s">
        <v>323</v>
      </c>
      <c r="I9" s="9"/>
      <c r="J9" s="9"/>
      <c r="K9" s="9"/>
      <c r="L9" s="9"/>
      <c r="M9" s="143"/>
      <c r="N9" s="9"/>
      <c r="O9" s="9"/>
      <c r="P9" s="9"/>
      <c r="Q9" s="9"/>
      <c r="R9" s="9"/>
      <c r="S9" s="9"/>
      <c r="T9" s="9"/>
      <c r="U9" s="9"/>
      <c r="V9" s="9"/>
    </row>
    <row r="10" spans="1:1024">
      <c r="A10" s="140">
        <v>0.33</v>
      </c>
      <c r="B10" s="140">
        <v>0.39</v>
      </c>
      <c r="C10" s="141">
        <f t="shared" si="0"/>
        <v>0.36</v>
      </c>
      <c r="D10" s="62">
        <v>2</v>
      </c>
      <c r="E10" s="6">
        <v>207.2</v>
      </c>
      <c r="F10" s="6" t="s">
        <v>321</v>
      </c>
      <c r="G10" s="6">
        <f t="shared" si="2"/>
        <v>0.83550000000000002</v>
      </c>
      <c r="H10" s="6" t="s">
        <v>323</v>
      </c>
      <c r="I10" s="9"/>
      <c r="J10" s="9"/>
      <c r="K10" s="9"/>
      <c r="L10" s="9"/>
      <c r="M10" s="143"/>
      <c r="N10" s="9"/>
      <c r="O10" s="9"/>
      <c r="P10" s="9"/>
      <c r="Q10" s="9"/>
      <c r="R10" s="9"/>
      <c r="S10" s="9"/>
      <c r="T10" s="9"/>
      <c r="U10" s="9"/>
      <c r="V10" s="9"/>
    </row>
    <row r="11" spans="1:1024">
      <c r="A11" s="140">
        <v>0.39</v>
      </c>
      <c r="B11" s="140">
        <v>0.45</v>
      </c>
      <c r="C11" s="141">
        <f t="shared" si="0"/>
        <v>0.42000000000000004</v>
      </c>
      <c r="D11" s="62">
        <v>3</v>
      </c>
      <c r="E11" s="6">
        <v>264.10000000000002</v>
      </c>
      <c r="F11" s="6">
        <v>2</v>
      </c>
      <c r="G11" s="6">
        <f t="shared" ref="G11" si="3">0.8355*E11/(E11-F11)</f>
        <v>0.84187542922548653</v>
      </c>
      <c r="H11" s="6" t="s">
        <v>308</v>
      </c>
      <c r="I11" s="9"/>
      <c r="J11" s="9"/>
      <c r="K11" s="9"/>
      <c r="L11" s="9"/>
      <c r="M11" s="143"/>
      <c r="N11" s="9"/>
      <c r="O11" s="9"/>
      <c r="P11" s="9"/>
      <c r="Q11" s="9"/>
      <c r="R11" s="9"/>
      <c r="S11" s="9"/>
      <c r="T11" s="9"/>
      <c r="U11" s="9"/>
      <c r="V11" s="9"/>
    </row>
    <row r="12" spans="1:1024">
      <c r="A12" s="140">
        <v>0.45</v>
      </c>
      <c r="B12" s="140">
        <v>0.51</v>
      </c>
      <c r="C12" s="141">
        <f t="shared" si="0"/>
        <v>0.48</v>
      </c>
      <c r="D12" s="62">
        <v>4</v>
      </c>
      <c r="E12" s="6">
        <v>149.16</v>
      </c>
      <c r="F12" s="6" t="s">
        <v>321</v>
      </c>
      <c r="G12" s="6">
        <v>0.83550000000000002</v>
      </c>
      <c r="H12" s="6" t="s">
        <v>323</v>
      </c>
      <c r="I12" s="9"/>
      <c r="J12" s="9"/>
      <c r="K12" s="9"/>
      <c r="L12" s="9"/>
      <c r="M12" s="143"/>
      <c r="N12" s="9"/>
      <c r="O12" s="9"/>
      <c r="P12" s="9"/>
      <c r="Q12" s="9"/>
      <c r="R12" s="9"/>
      <c r="S12" s="9"/>
      <c r="T12" s="9"/>
      <c r="U12" s="9"/>
      <c r="V12" s="9"/>
    </row>
    <row r="13" spans="1:1024">
      <c r="A13" s="140">
        <v>0.51</v>
      </c>
      <c r="B13" s="140">
        <v>0.56999999999999995</v>
      </c>
      <c r="C13" s="141">
        <f t="shared" si="0"/>
        <v>0.54</v>
      </c>
      <c r="D13" s="62">
        <v>5</v>
      </c>
      <c r="E13" s="6">
        <v>215.5</v>
      </c>
      <c r="F13" s="6">
        <v>1.3</v>
      </c>
      <c r="G13" s="6">
        <f t="shared" ref="G13:G23" si="4">0.8355*E13/(E13-F13)</f>
        <v>0.84057072829131663</v>
      </c>
      <c r="H13" s="6" t="s">
        <v>322</v>
      </c>
      <c r="I13" s="9"/>
      <c r="J13" s="9"/>
      <c r="K13" s="9"/>
      <c r="L13" s="9"/>
      <c r="M13" s="143"/>
      <c r="N13" s="9"/>
      <c r="O13" s="9"/>
      <c r="P13" s="9"/>
      <c r="Q13" s="9"/>
      <c r="R13" s="9"/>
      <c r="S13" s="9"/>
      <c r="T13" s="9"/>
      <c r="U13" s="9"/>
      <c r="V13" s="9"/>
    </row>
    <row r="14" spans="1:1024">
      <c r="A14" s="140">
        <v>0.56999999999999995</v>
      </c>
      <c r="B14" s="140">
        <v>0.63</v>
      </c>
      <c r="C14" s="141">
        <f t="shared" si="0"/>
        <v>0.6</v>
      </c>
      <c r="D14" s="62">
        <v>6</v>
      </c>
      <c r="E14" s="6">
        <v>244.2</v>
      </c>
      <c r="F14" s="6">
        <v>3.4</v>
      </c>
      <c r="G14" s="6">
        <f t="shared" si="4"/>
        <v>0.84729692691029901</v>
      </c>
      <c r="H14" s="6" t="s">
        <v>310</v>
      </c>
      <c r="I14" s="9"/>
      <c r="J14" s="9"/>
      <c r="K14" s="9"/>
      <c r="L14" s="9"/>
      <c r="M14" s="143"/>
      <c r="N14" s="9"/>
      <c r="O14" s="9"/>
      <c r="P14" s="9"/>
      <c r="Q14" s="9"/>
      <c r="R14" s="9"/>
      <c r="S14" s="9"/>
      <c r="T14" s="9"/>
      <c r="U14" s="9"/>
      <c r="V14" s="9"/>
    </row>
    <row r="15" spans="1:1024">
      <c r="A15" s="140">
        <v>0.63</v>
      </c>
      <c r="B15" s="140">
        <v>0.69</v>
      </c>
      <c r="C15" s="141">
        <f t="shared" si="0"/>
        <v>0.65999999999999992</v>
      </c>
      <c r="D15" s="62">
        <v>7</v>
      </c>
      <c r="E15" s="6">
        <v>236.1</v>
      </c>
      <c r="F15" s="6">
        <v>3.9</v>
      </c>
      <c r="G15" s="6">
        <f t="shared" si="4"/>
        <v>0.84953294573643412</v>
      </c>
      <c r="H15" s="6" t="s">
        <v>310</v>
      </c>
      <c r="I15" s="9"/>
      <c r="J15" s="9"/>
      <c r="K15" s="9"/>
      <c r="L15" s="9"/>
      <c r="M15" s="143"/>
      <c r="N15" s="9"/>
      <c r="O15" s="9"/>
      <c r="P15" s="9"/>
      <c r="Q15" s="9"/>
      <c r="R15" s="9"/>
      <c r="S15" s="9"/>
      <c r="T15" s="9"/>
      <c r="U15" s="9"/>
      <c r="V15" s="9"/>
    </row>
    <row r="16" spans="1:1024">
      <c r="A16" s="140">
        <v>0.69</v>
      </c>
      <c r="B16" s="140">
        <v>0.75</v>
      </c>
      <c r="C16" s="141">
        <f t="shared" si="0"/>
        <v>0.72</v>
      </c>
      <c r="D16" s="62">
        <v>8</v>
      </c>
      <c r="E16" s="6">
        <v>249</v>
      </c>
      <c r="F16" s="6">
        <v>1.9</v>
      </c>
      <c r="G16" s="6">
        <f t="shared" si="4"/>
        <v>0.84192432213678681</v>
      </c>
      <c r="H16" s="6" t="s">
        <v>324</v>
      </c>
      <c r="I16" s="9"/>
      <c r="J16" s="9"/>
      <c r="K16" s="9"/>
      <c r="L16" s="9"/>
      <c r="M16" s="143"/>
      <c r="N16" s="9"/>
      <c r="O16" s="9"/>
      <c r="P16" s="9"/>
      <c r="Q16" s="9"/>
      <c r="R16" s="9"/>
      <c r="S16" s="9"/>
      <c r="T16" s="9"/>
      <c r="U16" s="9"/>
      <c r="V16" s="9"/>
    </row>
    <row r="17" spans="1:24">
      <c r="A17" s="140">
        <v>0.75</v>
      </c>
      <c r="B17" s="140">
        <v>0.81</v>
      </c>
      <c r="C17" s="141">
        <f t="shared" si="0"/>
        <v>0.78</v>
      </c>
      <c r="D17" s="62">
        <v>9</v>
      </c>
      <c r="E17" s="6">
        <v>227.9</v>
      </c>
      <c r="F17" s="6">
        <v>3.1</v>
      </c>
      <c r="G17" s="6">
        <f t="shared" si="4"/>
        <v>0.84702157473309603</v>
      </c>
      <c r="H17" s="6" t="s">
        <v>308</v>
      </c>
      <c r="I17" s="9"/>
      <c r="J17" s="9"/>
      <c r="K17" s="9"/>
      <c r="L17" s="9"/>
      <c r="M17" s="143"/>
      <c r="N17" s="9"/>
      <c r="O17" s="9"/>
      <c r="P17" s="9"/>
      <c r="Q17" s="9"/>
      <c r="R17" s="9"/>
      <c r="S17" s="9"/>
      <c r="T17" s="9"/>
      <c r="U17" s="9"/>
      <c r="V17" s="9"/>
    </row>
    <row r="18" spans="1:24">
      <c r="A18" s="140">
        <v>0.81</v>
      </c>
      <c r="B18" s="140">
        <v>0.87</v>
      </c>
      <c r="C18" s="141">
        <f t="shared" si="0"/>
        <v>0.84000000000000008</v>
      </c>
      <c r="D18" s="62">
        <v>10</v>
      </c>
      <c r="E18" s="6">
        <v>253.2</v>
      </c>
      <c r="F18" s="6">
        <v>5.7</v>
      </c>
      <c r="G18" s="6">
        <f t="shared" si="4"/>
        <v>0.85474181818181816</v>
      </c>
      <c r="H18" s="6" t="s">
        <v>308</v>
      </c>
      <c r="I18" s="9"/>
      <c r="J18" s="9"/>
      <c r="K18" s="9"/>
      <c r="L18" s="9"/>
      <c r="M18" s="143"/>
      <c r="N18" s="9"/>
      <c r="O18" s="9"/>
      <c r="P18" s="9"/>
      <c r="Q18" s="9"/>
      <c r="R18" s="9"/>
      <c r="S18" s="9"/>
      <c r="T18" s="9"/>
      <c r="U18" s="9"/>
      <c r="V18" s="9"/>
    </row>
    <row r="19" spans="1:24">
      <c r="A19" s="140">
        <v>0.87</v>
      </c>
      <c r="B19" s="140">
        <v>0.93</v>
      </c>
      <c r="C19" s="141">
        <f t="shared" si="0"/>
        <v>0.9</v>
      </c>
      <c r="D19" s="62">
        <v>11</v>
      </c>
      <c r="E19" s="6">
        <v>219.6</v>
      </c>
      <c r="F19" s="6">
        <v>7.3</v>
      </c>
      <c r="G19" s="6">
        <f t="shared" si="4"/>
        <v>0.86422892133772966</v>
      </c>
      <c r="H19" s="6" t="s">
        <v>310</v>
      </c>
      <c r="I19" s="9"/>
      <c r="J19" s="9"/>
      <c r="K19" s="9"/>
      <c r="L19" s="9"/>
      <c r="M19" s="143"/>
      <c r="N19" s="9"/>
      <c r="O19" s="9"/>
      <c r="P19" s="9"/>
      <c r="Q19" s="9"/>
      <c r="R19" s="9"/>
      <c r="S19" s="9"/>
      <c r="T19" s="9"/>
      <c r="U19" s="9"/>
      <c r="V19" s="9"/>
    </row>
    <row r="20" spans="1:24">
      <c r="A20" s="140">
        <v>0.93</v>
      </c>
      <c r="B20" s="140">
        <v>0.99</v>
      </c>
      <c r="C20" s="141">
        <f t="shared" si="0"/>
        <v>0.96</v>
      </c>
      <c r="D20" s="62">
        <v>17</v>
      </c>
      <c r="E20" s="6">
        <v>263.39999999999998</v>
      </c>
      <c r="F20" s="6">
        <v>17.600000000000001</v>
      </c>
      <c r="G20" s="6">
        <f t="shared" si="4"/>
        <v>0.8953242473555737</v>
      </c>
      <c r="H20" s="6" t="s">
        <v>309</v>
      </c>
      <c r="I20" s="9"/>
      <c r="J20" s="9"/>
      <c r="K20" s="9"/>
      <c r="L20" s="9"/>
      <c r="M20" s="144"/>
      <c r="N20" s="9"/>
      <c r="O20" s="9"/>
      <c r="P20" s="9"/>
      <c r="Q20" s="9"/>
      <c r="R20" s="9"/>
      <c r="S20" s="9"/>
      <c r="T20" s="9"/>
      <c r="U20" s="9"/>
      <c r="V20" s="9"/>
    </row>
    <row r="21" spans="1:24">
      <c r="A21" s="140">
        <v>0.99</v>
      </c>
      <c r="B21" s="140">
        <v>1.08</v>
      </c>
      <c r="C21" s="141">
        <f t="shared" si="0"/>
        <v>1.0350000000000001</v>
      </c>
      <c r="D21" s="62">
        <v>18</v>
      </c>
      <c r="E21" s="6">
        <v>373.7</v>
      </c>
      <c r="F21" s="6">
        <v>24.9</v>
      </c>
      <c r="G21" s="6">
        <f t="shared" si="4"/>
        <v>0.89514435206422027</v>
      </c>
      <c r="H21" s="6" t="s">
        <v>325</v>
      </c>
      <c r="I21" s="9"/>
      <c r="J21" s="9"/>
      <c r="K21" s="9"/>
      <c r="L21" s="9"/>
      <c r="M21" s="9"/>
      <c r="N21" s="9"/>
      <c r="O21" s="9"/>
      <c r="P21" s="9"/>
      <c r="Q21" s="9"/>
      <c r="R21" s="9"/>
      <c r="S21" s="9"/>
      <c r="T21" s="9"/>
      <c r="U21" s="9"/>
      <c r="V21" s="9"/>
    </row>
    <row r="22" spans="1:24">
      <c r="A22" s="140">
        <f>B21+0</f>
        <v>1.08</v>
      </c>
      <c r="B22" s="140">
        <f>A22+0.07</f>
        <v>1.1500000000000001</v>
      </c>
      <c r="C22" s="141">
        <f t="shared" si="0"/>
        <v>1.1150000000000002</v>
      </c>
      <c r="D22" s="62">
        <v>14</v>
      </c>
      <c r="E22" s="6">
        <v>221.34</v>
      </c>
      <c r="F22" s="6" t="s">
        <v>321</v>
      </c>
      <c r="G22" s="6">
        <v>0.83550000000000002</v>
      </c>
      <c r="H22" s="6" t="s">
        <v>326</v>
      </c>
      <c r="I22" s="9"/>
      <c r="J22" s="9"/>
      <c r="K22" s="9"/>
      <c r="L22" s="9"/>
      <c r="M22" s="9"/>
      <c r="N22" s="9"/>
      <c r="O22" s="9"/>
      <c r="P22" s="9"/>
      <c r="Q22" s="9"/>
      <c r="R22" s="9"/>
      <c r="S22" s="9"/>
      <c r="T22" s="9"/>
      <c r="U22" s="9"/>
      <c r="V22" s="9"/>
    </row>
    <row r="23" spans="1:24">
      <c r="A23" s="140">
        <f>B22</f>
        <v>1.1500000000000001</v>
      </c>
      <c r="B23" s="140">
        <f>A23+0.04</f>
        <v>1.1900000000000002</v>
      </c>
      <c r="C23" s="141">
        <f t="shared" si="0"/>
        <v>1.1700000000000002</v>
      </c>
      <c r="D23" s="62">
        <v>13</v>
      </c>
      <c r="E23" s="6">
        <v>182.7</v>
      </c>
      <c r="F23" s="6">
        <v>9.6999999999999993</v>
      </c>
      <c r="G23" s="6">
        <f t="shared" si="4"/>
        <v>0.88234595375722535</v>
      </c>
      <c r="H23" s="6" t="s">
        <v>305</v>
      </c>
      <c r="I23" s="9"/>
      <c r="J23" s="9"/>
      <c r="K23" s="9"/>
      <c r="L23" s="9"/>
      <c r="M23" s="9"/>
      <c r="N23" s="9"/>
      <c r="O23" s="9"/>
      <c r="P23" s="9"/>
      <c r="Q23" s="9"/>
      <c r="R23" s="9"/>
      <c r="S23" s="9"/>
      <c r="T23" s="9"/>
      <c r="U23" s="9"/>
      <c r="V23" s="9"/>
    </row>
    <row r="24" spans="1:24">
      <c r="A24" s="142">
        <f>B23</f>
        <v>1.1900000000000002</v>
      </c>
      <c r="B24" s="141">
        <f>A24+0.05</f>
        <v>1.2400000000000002</v>
      </c>
      <c r="C24" s="141">
        <f t="shared" si="0"/>
        <v>1.2150000000000003</v>
      </c>
      <c r="D24" s="6">
        <v>12</v>
      </c>
      <c r="E24" s="6">
        <v>187.45</v>
      </c>
      <c r="F24" s="6">
        <v>8.1999999999999993</v>
      </c>
      <c r="G24" s="6">
        <f t="shared" ref="G24" si="5">0.8355*E24/(E24-F24)</f>
        <v>0.87372092050209205</v>
      </c>
      <c r="H24" s="6" t="s">
        <v>305</v>
      </c>
      <c r="I24" s="9"/>
      <c r="J24" s="9"/>
      <c r="K24" s="9"/>
      <c r="L24" s="9"/>
      <c r="M24" s="9"/>
      <c r="N24" s="9"/>
      <c r="O24" s="9"/>
      <c r="P24" s="9"/>
      <c r="Q24" s="9"/>
      <c r="R24" s="9"/>
      <c r="S24" s="9"/>
      <c r="T24" s="9"/>
      <c r="U24" s="9"/>
      <c r="V24" s="9"/>
    </row>
    <row r="25" spans="1:24">
      <c r="A25" s="140"/>
      <c r="B25" s="140"/>
      <c r="C25" s="141"/>
      <c r="D25" s="62"/>
      <c r="I25" s="9"/>
      <c r="J25" s="9"/>
      <c r="K25" s="9"/>
      <c r="L25" s="9"/>
      <c r="M25" s="9"/>
      <c r="N25" s="9"/>
      <c r="O25" s="9"/>
      <c r="P25" s="9"/>
      <c r="Q25" s="9"/>
      <c r="R25" s="9"/>
      <c r="S25" s="9"/>
      <c r="T25" s="9"/>
      <c r="U25" s="9"/>
      <c r="V25" s="9"/>
    </row>
    <row r="26" spans="1:24">
      <c r="A26" s="140"/>
      <c r="B26" s="140"/>
      <c r="C26" s="141"/>
      <c r="D26" s="62"/>
      <c r="H26" s="6" t="s">
        <v>347</v>
      </c>
      <c r="I26" s="9"/>
      <c r="J26" s="9"/>
      <c r="K26" s="9"/>
      <c r="L26" s="9"/>
      <c r="M26" s="9"/>
      <c r="N26" s="9"/>
      <c r="O26" s="9"/>
      <c r="P26" s="9"/>
      <c r="Q26" s="9"/>
      <c r="R26" s="9"/>
      <c r="S26" s="9"/>
      <c r="T26" s="9"/>
      <c r="U26" s="9"/>
      <c r="V26" s="9"/>
    </row>
    <row r="27" spans="1:24">
      <c r="A27" s="140"/>
      <c r="B27" s="140"/>
      <c r="C27" s="141"/>
      <c r="D27" s="62"/>
      <c r="H27" s="6" t="s">
        <v>346</v>
      </c>
      <c r="I27" s="9"/>
      <c r="J27" s="9"/>
      <c r="K27" s="9"/>
      <c r="L27" s="9"/>
      <c r="M27" s="9"/>
      <c r="N27" s="9"/>
      <c r="O27" s="9"/>
      <c r="P27" s="9"/>
      <c r="Q27" s="9"/>
      <c r="R27" s="9"/>
      <c r="S27" s="9"/>
      <c r="T27" s="9"/>
      <c r="U27" s="9"/>
      <c r="V27" s="9"/>
    </row>
    <row r="28" spans="1:24">
      <c r="A28" s="140"/>
      <c r="B28" s="140"/>
      <c r="C28" s="141"/>
      <c r="D28" s="62"/>
      <c r="I28" s="9"/>
      <c r="J28" s="9"/>
      <c r="K28" s="9"/>
      <c r="L28" s="9"/>
      <c r="M28" s="9"/>
      <c r="N28" s="9"/>
      <c r="O28" s="9"/>
      <c r="P28" s="9"/>
      <c r="Q28" s="9"/>
      <c r="R28" s="9"/>
      <c r="S28" s="9"/>
      <c r="T28" s="9"/>
      <c r="U28" s="9"/>
      <c r="V28" s="9"/>
    </row>
    <row r="29" spans="1:24">
      <c r="A29" s="140"/>
      <c r="B29" s="140"/>
      <c r="C29" s="141"/>
      <c r="D29" s="62"/>
      <c r="I29" s="9"/>
      <c r="J29" s="9"/>
      <c r="K29" s="9"/>
      <c r="L29" s="9"/>
      <c r="M29" s="9"/>
      <c r="N29" s="9"/>
      <c r="O29" s="9"/>
      <c r="P29" s="9"/>
      <c r="Q29" s="9"/>
      <c r="R29" s="9"/>
      <c r="S29" s="9"/>
      <c r="T29" s="9"/>
      <c r="U29" s="9"/>
      <c r="V29" s="9"/>
    </row>
    <row r="30" spans="1:24">
      <c r="A30" s="140"/>
      <c r="B30" s="140"/>
      <c r="C30" s="141"/>
      <c r="D30" s="62"/>
      <c r="I30" s="9"/>
      <c r="J30" s="9"/>
      <c r="K30" s="9"/>
      <c r="L30" s="9"/>
      <c r="M30" s="9"/>
      <c r="N30" s="9"/>
      <c r="O30" s="9"/>
      <c r="P30" s="9"/>
      <c r="Q30" s="9"/>
      <c r="R30" s="9"/>
      <c r="S30" s="9"/>
      <c r="T30" s="9"/>
      <c r="U30" s="9"/>
      <c r="V30" s="9"/>
      <c r="X30" s="6" t="s">
        <v>306</v>
      </c>
    </row>
    <row r="31" spans="1:24">
      <c r="A31" s="140"/>
      <c r="B31" s="140"/>
      <c r="C31" s="141"/>
      <c r="D31" s="62"/>
      <c r="I31" s="9"/>
      <c r="J31" s="9"/>
      <c r="K31" s="9"/>
      <c r="L31" s="9"/>
      <c r="M31" s="9"/>
      <c r="N31" s="9"/>
      <c r="O31" s="9"/>
      <c r="P31" s="9"/>
      <c r="Q31" s="9"/>
      <c r="R31" s="9"/>
      <c r="S31" s="9"/>
      <c r="T31" s="9"/>
      <c r="U31" s="9"/>
      <c r="V31" s="9"/>
    </row>
    <row r="32" spans="1:24">
      <c r="A32" s="140"/>
      <c r="B32" s="140"/>
      <c r="C32" s="141"/>
      <c r="D32" s="62"/>
      <c r="I32" s="9"/>
      <c r="J32" s="9"/>
      <c r="K32" s="9"/>
      <c r="L32" s="9"/>
      <c r="M32" s="9"/>
      <c r="N32" s="9"/>
      <c r="O32" s="9"/>
      <c r="P32" s="9"/>
      <c r="Q32" s="9"/>
      <c r="R32" s="9"/>
      <c r="S32" s="9"/>
      <c r="T32" s="9"/>
      <c r="U32" s="9"/>
      <c r="V32" s="9"/>
      <c r="X32" s="6" t="s">
        <v>304</v>
      </c>
    </row>
    <row r="33" spans="1:24">
      <c r="A33" s="140"/>
      <c r="B33" s="140"/>
      <c r="C33" s="141"/>
      <c r="D33" s="62"/>
      <c r="I33" s="9"/>
      <c r="J33" s="9"/>
      <c r="K33" s="9"/>
      <c r="L33" s="9"/>
      <c r="M33" s="9"/>
      <c r="N33" s="9"/>
      <c r="O33" s="9"/>
      <c r="P33" s="9"/>
      <c r="Q33" s="9"/>
      <c r="R33" s="9"/>
      <c r="S33" s="9"/>
      <c r="T33" s="9"/>
      <c r="U33" s="9"/>
      <c r="V33" s="9"/>
      <c r="X33" s="6" t="s">
        <v>304</v>
      </c>
    </row>
    <row r="34" spans="1:24">
      <c r="A34" s="140"/>
      <c r="B34" s="140"/>
      <c r="C34" s="141"/>
      <c r="D34" s="62"/>
      <c r="I34" s="9"/>
      <c r="J34" s="9"/>
      <c r="K34" s="9"/>
      <c r="L34" s="9"/>
      <c r="M34" s="9"/>
      <c r="N34" s="9"/>
      <c r="O34" s="9"/>
      <c r="P34" s="9"/>
      <c r="Q34" s="9"/>
      <c r="R34" s="9"/>
      <c r="S34" s="9"/>
      <c r="T34" s="9"/>
      <c r="U34" s="9"/>
      <c r="V34" s="9"/>
    </row>
    <row r="35" spans="1:24">
      <c r="A35" s="140"/>
      <c r="B35" s="140"/>
      <c r="C35" s="141"/>
      <c r="D35" s="62"/>
      <c r="I35" s="9"/>
      <c r="J35" s="9"/>
      <c r="K35" s="9"/>
      <c r="L35" s="9"/>
      <c r="M35" s="9"/>
      <c r="N35" s="9"/>
      <c r="O35" s="9"/>
      <c r="P35" s="9"/>
      <c r="Q35" s="9"/>
      <c r="R35" s="9"/>
      <c r="S35" s="9"/>
      <c r="T35" s="9"/>
      <c r="U35" s="9"/>
      <c r="V35" s="9"/>
      <c r="X35" s="6" t="s">
        <v>304</v>
      </c>
    </row>
    <row r="36" spans="1:24">
      <c r="A36" s="140"/>
      <c r="B36" s="140"/>
      <c r="C36" s="141"/>
      <c r="D36" s="62"/>
      <c r="I36" s="9"/>
      <c r="J36" s="9"/>
      <c r="K36" s="9"/>
      <c r="L36" s="9"/>
      <c r="M36" s="9"/>
      <c r="N36" s="9"/>
      <c r="O36" s="9"/>
      <c r="P36" s="9"/>
      <c r="Q36" s="9"/>
      <c r="R36" s="9"/>
      <c r="S36" s="9"/>
      <c r="T36" s="9"/>
      <c r="U36" s="9"/>
      <c r="V36" s="9"/>
      <c r="X36" s="6" t="s">
        <v>305</v>
      </c>
    </row>
    <row r="37" spans="1:24">
      <c r="A37" s="140"/>
      <c r="B37" s="140"/>
      <c r="C37" s="141"/>
      <c r="D37" s="62"/>
      <c r="I37" s="9"/>
      <c r="J37" s="9"/>
      <c r="K37" s="9"/>
      <c r="L37" s="9"/>
      <c r="M37" s="9"/>
      <c r="N37" s="9"/>
      <c r="O37" s="9"/>
      <c r="P37" s="9"/>
      <c r="Q37" s="9"/>
      <c r="R37" s="9"/>
      <c r="S37" s="9"/>
      <c r="T37" s="9"/>
      <c r="U37" s="9"/>
      <c r="V37" s="9"/>
    </row>
    <row r="38" spans="1:24">
      <c r="A38" s="140"/>
      <c r="B38" s="140"/>
      <c r="C38" s="141"/>
      <c r="D38" s="62"/>
      <c r="I38" s="9"/>
      <c r="J38" s="9"/>
      <c r="K38" s="9"/>
      <c r="L38" s="9"/>
      <c r="M38" s="9"/>
      <c r="N38" s="9"/>
      <c r="O38" s="9"/>
      <c r="P38" s="9"/>
      <c r="Q38" s="9"/>
      <c r="R38" s="9"/>
      <c r="S38" s="9"/>
      <c r="T38" s="9"/>
      <c r="U38" s="9"/>
      <c r="V38" s="9"/>
    </row>
    <row r="39" spans="1:24">
      <c r="A39" s="62"/>
      <c r="D39" s="62"/>
      <c r="I39" s="9"/>
      <c r="J39" s="9"/>
      <c r="K39" s="9"/>
      <c r="L39" s="9"/>
      <c r="M39" s="9"/>
      <c r="N39" s="9"/>
      <c r="O39" s="9"/>
      <c r="P39" s="9"/>
      <c r="Q39" s="9"/>
      <c r="R39" s="9"/>
      <c r="S39" s="9"/>
      <c r="T39" s="9"/>
      <c r="U39" s="9"/>
      <c r="V39" s="9"/>
    </row>
    <row r="40" spans="1:24">
      <c r="A40" s="62"/>
      <c r="D40" s="62"/>
      <c r="I40" s="9" t="s">
        <v>320</v>
      </c>
      <c r="J40" s="9"/>
      <c r="K40" s="9"/>
      <c r="L40" s="9"/>
      <c r="M40" s="9"/>
      <c r="N40" s="9"/>
      <c r="O40" s="9"/>
      <c r="P40" s="9"/>
      <c r="Q40" s="9"/>
      <c r="R40" s="9"/>
      <c r="S40" s="9"/>
      <c r="T40" s="9"/>
      <c r="U40" s="9"/>
      <c r="V40" s="9"/>
    </row>
    <row r="41" spans="1:24">
      <c r="A41" s="62"/>
      <c r="D41" s="62"/>
      <c r="I41" s="9" t="s">
        <v>319</v>
      </c>
      <c r="J41" s="9"/>
      <c r="K41" s="9" t="s">
        <v>303</v>
      </c>
      <c r="L41" s="9"/>
      <c r="M41" s="9"/>
      <c r="N41" s="9"/>
      <c r="O41" s="9"/>
      <c r="P41" s="9"/>
      <c r="Q41" s="9"/>
      <c r="R41" s="9"/>
      <c r="S41" s="9"/>
      <c r="T41" s="9"/>
      <c r="U41" s="9"/>
      <c r="V41" s="9"/>
    </row>
    <row r="42" spans="1:24">
      <c r="A42" s="62"/>
      <c r="D42" s="62"/>
      <c r="I42" s="9"/>
      <c r="J42" s="9"/>
      <c r="K42" s="9"/>
      <c r="L42" s="9"/>
      <c r="M42" s="9"/>
      <c r="N42" s="9"/>
      <c r="O42" s="9"/>
      <c r="P42" s="9"/>
      <c r="Q42" s="9"/>
      <c r="R42" s="9"/>
      <c r="S42" s="9"/>
      <c r="T42" s="9"/>
      <c r="U42" s="9"/>
      <c r="V42" s="9"/>
    </row>
    <row r="43" spans="1:24">
      <c r="A43" s="62"/>
      <c r="D43" s="62"/>
      <c r="I43" s="9"/>
      <c r="J43" s="9"/>
      <c r="K43" s="9"/>
      <c r="L43" s="9"/>
      <c r="M43" s="9"/>
      <c r="N43" s="9"/>
      <c r="O43" s="9"/>
      <c r="P43" s="9"/>
      <c r="Q43" s="9"/>
      <c r="R43" s="9"/>
      <c r="S43" s="9"/>
      <c r="T43" s="9"/>
      <c r="U43" s="9"/>
      <c r="V43" s="9"/>
    </row>
    <row r="44" spans="1:24">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ignoredErrors>
    <ignoredError sqref="G11"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77</v>
      </c>
      <c r="B1" s="14" t="s">
        <v>78</v>
      </c>
      <c r="C1" s="6" t="s">
        <v>79</v>
      </c>
      <c r="D1" s="14" t="s">
        <v>80</v>
      </c>
      <c r="E1" s="6" t="s">
        <v>81</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82</v>
      </c>
      <c r="B2" s="58" t="s">
        <v>83</v>
      </c>
      <c r="C2" s="58" t="s">
        <v>104</v>
      </c>
      <c r="D2" s="58" t="s">
        <v>117</v>
      </c>
      <c r="E2" s="58" t="s">
        <v>118</v>
      </c>
      <c r="F2" s="163" t="s">
        <v>119</v>
      </c>
      <c r="G2" s="163"/>
      <c r="H2" s="163" t="s">
        <v>120</v>
      </c>
      <c r="I2" s="163"/>
      <c r="J2" s="164" t="s">
        <v>121</v>
      </c>
      <c r="K2" s="164"/>
      <c r="L2" s="163" t="s">
        <v>122</v>
      </c>
      <c r="M2" s="163"/>
      <c r="N2" s="164" t="s">
        <v>123</v>
      </c>
      <c r="O2" s="164"/>
      <c r="P2" s="162" t="s">
        <v>124</v>
      </c>
      <c r="Q2" s="162"/>
      <c r="R2" s="159" t="s">
        <v>125</v>
      </c>
      <c r="S2" s="159"/>
      <c r="T2" s="162" t="s">
        <v>126</v>
      </c>
      <c r="U2" s="162"/>
      <c r="V2" s="159" t="s">
        <v>127</v>
      </c>
      <c r="W2" s="159"/>
      <c r="X2" s="162" t="s">
        <v>128</v>
      </c>
      <c r="Y2" s="162"/>
      <c r="Z2" s="161" t="s">
        <v>129</v>
      </c>
      <c r="AA2" s="161"/>
      <c r="AB2" s="161" t="s">
        <v>130</v>
      </c>
      <c r="AC2" s="161"/>
      <c r="AD2" s="162" t="s">
        <v>131</v>
      </c>
      <c r="AE2" s="162"/>
      <c r="AF2" s="58" t="s">
        <v>92</v>
      </c>
      <c r="AG2" s="74"/>
      <c r="AH2" s="74"/>
      <c r="AI2" s="74"/>
      <c r="AJ2" s="73"/>
      <c r="AK2" s="73"/>
      <c r="AL2" s="73"/>
      <c r="AM2" s="73"/>
    </row>
    <row r="3" spans="1:39" ht="30">
      <c r="A3" s="58" t="s">
        <v>93</v>
      </c>
      <c r="B3" s="58" t="s">
        <v>93</v>
      </c>
      <c r="C3" s="58" t="s">
        <v>93</v>
      </c>
      <c r="D3" s="58" t="s">
        <v>93</v>
      </c>
      <c r="E3" s="58" t="s">
        <v>93</v>
      </c>
      <c r="F3" s="75" t="s">
        <v>132</v>
      </c>
      <c r="G3" s="76" t="s">
        <v>133</v>
      </c>
      <c r="H3" s="75" t="s">
        <v>132</v>
      </c>
      <c r="I3" s="76" t="s">
        <v>93</v>
      </c>
      <c r="J3" s="58" t="s">
        <v>94</v>
      </c>
      <c r="K3" s="13" t="s">
        <v>93</v>
      </c>
      <c r="L3" s="75" t="s">
        <v>94</v>
      </c>
      <c r="M3" s="76" t="s">
        <v>93</v>
      </c>
      <c r="N3" s="58" t="s">
        <v>94</v>
      </c>
      <c r="O3" s="13" t="s">
        <v>93</v>
      </c>
      <c r="P3" s="75" t="s">
        <v>94</v>
      </c>
      <c r="Q3" s="76" t="s">
        <v>93</v>
      </c>
      <c r="R3" s="58" t="s">
        <v>94</v>
      </c>
      <c r="S3" s="13" t="s">
        <v>93</v>
      </c>
      <c r="T3" s="75" t="s">
        <v>94</v>
      </c>
      <c r="U3" s="76" t="s">
        <v>93</v>
      </c>
      <c r="V3" s="58" t="s">
        <v>94</v>
      </c>
      <c r="W3" s="13" t="s">
        <v>93</v>
      </c>
      <c r="X3" s="75" t="s">
        <v>94</v>
      </c>
      <c r="Y3" s="77" t="s">
        <v>93</v>
      </c>
      <c r="Z3" s="58" t="s">
        <v>94</v>
      </c>
      <c r="AA3" s="13" t="s">
        <v>93</v>
      </c>
      <c r="AB3" s="75" t="s">
        <v>94</v>
      </c>
      <c r="AC3" s="13" t="s">
        <v>93</v>
      </c>
      <c r="AD3" s="75" t="s">
        <v>94</v>
      </c>
      <c r="AE3" s="76" t="s">
        <v>93</v>
      </c>
      <c r="AF3" s="58"/>
      <c r="AG3" s="74"/>
      <c r="AH3" s="74"/>
      <c r="AI3" s="74"/>
      <c r="AJ3" s="73"/>
      <c r="AK3" s="73"/>
      <c r="AL3" s="73"/>
      <c r="AM3" s="73"/>
    </row>
    <row r="4" spans="1:39">
      <c r="A4" s="60" t="s">
        <v>8</v>
      </c>
      <c r="B4" s="60" t="s">
        <v>8</v>
      </c>
      <c r="C4" s="60" t="s">
        <v>8</v>
      </c>
      <c r="D4" s="60" t="s">
        <v>134</v>
      </c>
      <c r="E4" s="60" t="s">
        <v>134</v>
      </c>
      <c r="F4" s="78" t="s">
        <v>1</v>
      </c>
      <c r="G4" s="79"/>
      <c r="H4" s="78" t="s">
        <v>1</v>
      </c>
      <c r="I4" s="79" t="s">
        <v>135</v>
      </c>
      <c r="J4" s="60" t="s">
        <v>1</v>
      </c>
      <c r="K4" s="60" t="s">
        <v>135</v>
      </c>
      <c r="L4" s="78"/>
      <c r="M4" s="79" t="s">
        <v>136</v>
      </c>
      <c r="N4" s="60" t="s">
        <v>136</v>
      </c>
      <c r="O4" s="60"/>
      <c r="P4" s="78" t="s">
        <v>136</v>
      </c>
      <c r="Q4" s="79"/>
      <c r="R4" s="60" t="s">
        <v>136</v>
      </c>
      <c r="S4" s="60"/>
      <c r="T4" s="78" t="s">
        <v>136</v>
      </c>
      <c r="U4" s="79"/>
      <c r="V4" s="60" t="s">
        <v>136</v>
      </c>
      <c r="W4" s="60"/>
      <c r="X4" s="78" t="s">
        <v>136</v>
      </c>
      <c r="Y4" s="79"/>
      <c r="Z4" s="60" t="s">
        <v>136</v>
      </c>
      <c r="AA4" s="60"/>
      <c r="AB4" s="78"/>
      <c r="AC4" s="60" t="s">
        <v>136</v>
      </c>
      <c r="AD4" s="78"/>
      <c r="AE4" s="79" t="s">
        <v>136</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77</v>
      </c>
      <c r="B1" s="57" t="s">
        <v>78</v>
      </c>
      <c r="C1" s="6" t="s">
        <v>79</v>
      </c>
      <c r="E1" s="57" t="s">
        <v>80</v>
      </c>
      <c r="F1" s="6" t="s">
        <v>81</v>
      </c>
      <c r="G1" s="14"/>
      <c r="H1" s="14"/>
      <c r="I1" s="14"/>
      <c r="J1" s="14"/>
      <c r="K1" s="14"/>
      <c r="L1" s="14"/>
      <c r="M1" s="14"/>
      <c r="N1" s="85"/>
      <c r="O1" s="85"/>
      <c r="P1" s="83"/>
      <c r="Q1" s="83"/>
      <c r="R1" s="83"/>
      <c r="S1" s="83"/>
      <c r="T1" s="83"/>
      <c r="U1" s="83"/>
      <c r="V1" s="83"/>
      <c r="W1" s="83"/>
      <c r="X1" s="83"/>
      <c r="Y1" s="83"/>
      <c r="Z1" s="83"/>
    </row>
    <row r="2" spans="1:26" ht="45">
      <c r="A2" s="58" t="s">
        <v>82</v>
      </c>
      <c r="B2" s="58" t="s">
        <v>83</v>
      </c>
      <c r="C2" s="58" t="s">
        <v>84</v>
      </c>
      <c r="D2" s="58" t="s">
        <v>85</v>
      </c>
      <c r="E2" s="58" t="s">
        <v>86</v>
      </c>
      <c r="F2" s="58" t="s">
        <v>87</v>
      </c>
      <c r="G2" s="58" t="s">
        <v>87</v>
      </c>
      <c r="H2" s="58" t="s">
        <v>88</v>
      </c>
      <c r="I2" s="1" t="s">
        <v>89</v>
      </c>
      <c r="J2" s="1" t="s">
        <v>89</v>
      </c>
      <c r="K2" s="1" t="s">
        <v>90</v>
      </c>
      <c r="L2" s="1" t="s">
        <v>90</v>
      </c>
      <c r="M2" s="58" t="s">
        <v>92</v>
      </c>
      <c r="N2" s="85"/>
      <c r="O2" s="85"/>
      <c r="P2" s="85"/>
      <c r="Q2" s="85"/>
      <c r="R2" s="85"/>
      <c r="S2" s="85"/>
      <c r="T2" s="85"/>
      <c r="U2" s="85"/>
      <c r="V2" s="85"/>
      <c r="W2" s="85"/>
      <c r="X2" s="85"/>
      <c r="Y2" s="85"/>
      <c r="Z2" s="85"/>
    </row>
    <row r="3" spans="1:26" ht="30.6" customHeight="1">
      <c r="A3" s="58" t="s">
        <v>93</v>
      </c>
      <c r="B3" s="58" t="s">
        <v>93</v>
      </c>
      <c r="C3" s="58" t="s">
        <v>93</v>
      </c>
      <c r="D3" s="58" t="s">
        <v>94</v>
      </c>
      <c r="E3" s="58" t="s">
        <v>93</v>
      </c>
      <c r="F3" s="58" t="s">
        <v>93</v>
      </c>
      <c r="G3" s="58" t="s">
        <v>137</v>
      </c>
      <c r="H3" s="58"/>
      <c r="I3" s="58" t="s">
        <v>94</v>
      </c>
      <c r="J3" s="58" t="s">
        <v>93</v>
      </c>
      <c r="K3" s="58" t="s">
        <v>94</v>
      </c>
      <c r="L3" s="58" t="s">
        <v>93</v>
      </c>
      <c r="M3" s="58" t="s">
        <v>93</v>
      </c>
      <c r="N3" s="85"/>
      <c r="O3" s="85"/>
      <c r="P3" s="85"/>
      <c r="Q3" s="85"/>
      <c r="R3" s="85"/>
      <c r="S3" s="85"/>
      <c r="T3" s="85"/>
      <c r="U3" s="85"/>
      <c r="V3" s="85"/>
      <c r="W3" s="85"/>
      <c r="X3" s="85"/>
      <c r="Y3" s="85"/>
      <c r="Z3" s="85"/>
    </row>
    <row r="4" spans="1:26">
      <c r="A4" s="60" t="s">
        <v>8</v>
      </c>
      <c r="B4" s="60" t="s">
        <v>8</v>
      </c>
      <c r="C4" s="60" t="s">
        <v>8</v>
      </c>
      <c r="D4" s="60" t="s">
        <v>1</v>
      </c>
      <c r="E4" s="60" t="s">
        <v>96</v>
      </c>
      <c r="F4" s="61" t="s">
        <v>97</v>
      </c>
      <c r="G4" s="60" t="s">
        <v>98</v>
      </c>
      <c r="H4" s="61" t="s">
        <v>97</v>
      </c>
      <c r="I4" s="60" t="s">
        <v>1</v>
      </c>
      <c r="J4" s="60" t="s">
        <v>96</v>
      </c>
      <c r="K4" s="60" t="s">
        <v>1</v>
      </c>
      <c r="L4" s="60" t="s">
        <v>96</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82</v>
      </c>
      <c r="B1" s="58" t="s">
        <v>83</v>
      </c>
      <c r="C1" s="19"/>
      <c r="D1" s="58" t="s">
        <v>86</v>
      </c>
      <c r="E1" s="58" t="s">
        <v>87</v>
      </c>
      <c r="F1" s="58" t="s">
        <v>87</v>
      </c>
      <c r="G1" s="58" t="s">
        <v>88</v>
      </c>
      <c r="H1" s="159" t="s">
        <v>89</v>
      </c>
      <c r="I1" s="159"/>
      <c r="J1" s="159" t="s">
        <v>90</v>
      </c>
      <c r="K1" s="159"/>
      <c r="L1" s="60"/>
      <c r="M1" s="58" t="s">
        <v>92</v>
      </c>
      <c r="N1" s="9"/>
      <c r="O1" s="19" t="s">
        <v>138</v>
      </c>
      <c r="P1" s="19"/>
      <c r="Q1" s="9"/>
      <c r="R1" s="163" t="s">
        <v>119</v>
      </c>
      <c r="S1" s="163"/>
      <c r="T1" s="9"/>
      <c r="U1" s="58" t="s">
        <v>82</v>
      </c>
      <c r="V1" s="58" t="s">
        <v>83</v>
      </c>
      <c r="W1" s="19"/>
      <c r="X1" s="9"/>
      <c r="Y1" s="165" t="s">
        <v>139</v>
      </c>
      <c r="Z1" s="165"/>
      <c r="AA1" s="165"/>
      <c r="AB1" s="9"/>
      <c r="AC1" s="166" t="s">
        <v>140</v>
      </c>
      <c r="AD1" s="166"/>
      <c r="AE1" s="9"/>
    </row>
    <row r="2" spans="1:31" ht="45">
      <c r="A2" s="58" t="s">
        <v>93</v>
      </c>
      <c r="B2" s="58" t="s">
        <v>93</v>
      </c>
      <c r="C2" s="58" t="s">
        <v>141</v>
      </c>
      <c r="D2" s="58" t="s">
        <v>93</v>
      </c>
      <c r="E2" s="58" t="s">
        <v>93</v>
      </c>
      <c r="F2" s="58" t="s">
        <v>137</v>
      </c>
      <c r="G2" s="58"/>
      <c r="H2" s="58" t="s">
        <v>94</v>
      </c>
      <c r="I2" s="58" t="s">
        <v>93</v>
      </c>
      <c r="J2" s="58" t="s">
        <v>94</v>
      </c>
      <c r="K2" s="58" t="s">
        <v>93</v>
      </c>
      <c r="L2" s="1" t="s">
        <v>142</v>
      </c>
      <c r="M2" s="58" t="s">
        <v>91</v>
      </c>
      <c r="N2" s="9"/>
      <c r="O2" s="87" t="s">
        <v>143</v>
      </c>
      <c r="P2" s="87" t="s">
        <v>100</v>
      </c>
      <c r="Q2" s="9"/>
      <c r="R2" s="75" t="s">
        <v>132</v>
      </c>
      <c r="S2" s="76" t="s">
        <v>133</v>
      </c>
      <c r="T2" s="9"/>
      <c r="U2" s="58" t="s">
        <v>93</v>
      </c>
      <c r="V2" s="58" t="s">
        <v>93</v>
      </c>
      <c r="W2" s="58" t="s">
        <v>141</v>
      </c>
      <c r="X2" s="9"/>
      <c r="Y2" s="58" t="s">
        <v>144</v>
      </c>
      <c r="Z2" s="58" t="s">
        <v>145</v>
      </c>
      <c r="AA2" s="58"/>
      <c r="AB2" s="9"/>
      <c r="AC2" s="19" t="s">
        <v>146</v>
      </c>
      <c r="AD2" s="19" t="s">
        <v>38</v>
      </c>
      <c r="AE2" s="9"/>
    </row>
    <row r="3" spans="1:31" ht="15">
      <c r="A3" s="87" t="s">
        <v>8</v>
      </c>
      <c r="B3" s="87" t="s">
        <v>8</v>
      </c>
      <c r="C3" s="87"/>
      <c r="D3" s="60" t="s">
        <v>96</v>
      </c>
      <c r="E3" s="61" t="s">
        <v>147</v>
      </c>
      <c r="F3" s="60" t="s">
        <v>98</v>
      </c>
      <c r="G3" s="61" t="s">
        <v>97</v>
      </c>
      <c r="H3" s="60" t="s">
        <v>1</v>
      </c>
      <c r="I3" s="60" t="s">
        <v>96</v>
      </c>
      <c r="J3" s="60" t="s">
        <v>1</v>
      </c>
      <c r="K3" s="60" t="s">
        <v>96</v>
      </c>
      <c r="L3" s="60" t="s">
        <v>148</v>
      </c>
      <c r="M3" s="61" t="s">
        <v>149</v>
      </c>
      <c r="N3" s="9"/>
      <c r="O3" s="87" t="s">
        <v>8</v>
      </c>
      <c r="P3" s="87" t="s">
        <v>52</v>
      </c>
      <c r="Q3" s="9"/>
      <c r="R3" s="78" t="s">
        <v>1</v>
      </c>
      <c r="S3" s="79"/>
      <c r="T3" s="9"/>
      <c r="U3" s="87" t="s">
        <v>8</v>
      </c>
      <c r="V3" s="87" t="s">
        <v>8</v>
      </c>
      <c r="W3" s="87"/>
      <c r="X3" s="9"/>
      <c r="Y3" s="87"/>
      <c r="Z3" s="87"/>
      <c r="AA3" s="87"/>
      <c r="AB3" s="9"/>
      <c r="AC3" s="19" t="s">
        <v>150</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77</v>
      </c>
      <c r="B1" s="64" t="s">
        <v>78</v>
      </c>
      <c r="C1" s="91" t="s">
        <v>79</v>
      </c>
      <c r="D1" s="65" t="s">
        <v>80</v>
      </c>
      <c r="E1" s="91" t="s">
        <v>81</v>
      </c>
      <c r="F1" s="63"/>
      <c r="G1" s="63"/>
      <c r="H1" s="63"/>
      <c r="I1" s="92"/>
      <c r="J1" s="92"/>
      <c r="K1" s="92"/>
      <c r="L1" s="92"/>
      <c r="M1" s="92"/>
      <c r="N1" s="92"/>
      <c r="O1" s="92"/>
      <c r="P1" s="92"/>
      <c r="Q1" s="92"/>
      <c r="R1" s="92"/>
      <c r="S1" s="92"/>
      <c r="T1" s="92"/>
      <c r="U1" s="92"/>
      <c r="V1" s="92"/>
      <c r="W1" s="92"/>
      <c r="X1" s="92"/>
      <c r="Y1" s="92"/>
      <c r="Z1" s="92"/>
    </row>
    <row r="2" spans="1:26" ht="24">
      <c r="A2" s="66" t="s">
        <v>82</v>
      </c>
      <c r="B2" s="66" t="s">
        <v>83</v>
      </c>
      <c r="C2" s="66" t="s">
        <v>84</v>
      </c>
      <c r="D2" s="66" t="s">
        <v>86</v>
      </c>
      <c r="E2" s="66" t="s">
        <v>117</v>
      </c>
      <c r="F2" s="66" t="s">
        <v>151</v>
      </c>
      <c r="G2" s="66" t="s">
        <v>152</v>
      </c>
      <c r="H2" s="66" t="s">
        <v>92</v>
      </c>
      <c r="I2" s="92"/>
      <c r="J2" s="92"/>
      <c r="K2" s="92"/>
      <c r="L2" s="92"/>
      <c r="M2" s="92"/>
      <c r="N2" s="92"/>
      <c r="O2" s="92"/>
      <c r="P2" s="92"/>
      <c r="Q2" s="92"/>
      <c r="R2" s="92"/>
      <c r="S2" s="92"/>
      <c r="T2" s="92"/>
      <c r="U2" s="92"/>
      <c r="V2" s="92"/>
      <c r="W2" s="92"/>
      <c r="X2" s="92"/>
      <c r="Y2" s="92"/>
      <c r="Z2" s="92"/>
    </row>
    <row r="3" spans="1:26">
      <c r="A3" s="66" t="s">
        <v>93</v>
      </c>
      <c r="B3" s="66" t="s">
        <v>93</v>
      </c>
      <c r="C3" s="66" t="s">
        <v>93</v>
      </c>
      <c r="D3" s="66" t="s">
        <v>93</v>
      </c>
      <c r="E3" s="66" t="s">
        <v>93</v>
      </c>
      <c r="F3" s="66" t="s">
        <v>93</v>
      </c>
      <c r="G3" s="66" t="s">
        <v>93</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96</v>
      </c>
      <c r="E4" s="93" t="s">
        <v>153</v>
      </c>
      <c r="F4" s="93" t="s">
        <v>148</v>
      </c>
      <c r="G4" s="93" t="s">
        <v>148</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77</v>
      </c>
      <c r="B1" s="98" t="s">
        <v>78</v>
      </c>
      <c r="C1" s="94" t="s">
        <v>79</v>
      </c>
      <c r="D1" s="98" t="s">
        <v>80</v>
      </c>
      <c r="E1" s="94" t="s">
        <v>81</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82</v>
      </c>
      <c r="B2" s="103" t="s">
        <v>83</v>
      </c>
      <c r="C2" s="103" t="s">
        <v>84</v>
      </c>
      <c r="D2" s="103" t="s">
        <v>154</v>
      </c>
      <c r="E2" s="103" t="s">
        <v>155</v>
      </c>
      <c r="F2" s="104" t="s">
        <v>156</v>
      </c>
      <c r="G2" s="105" t="s">
        <v>157</v>
      </c>
      <c r="H2" s="103" t="s">
        <v>158</v>
      </c>
      <c r="I2" s="103" t="s">
        <v>159</v>
      </c>
      <c r="J2" s="105" t="s">
        <v>160</v>
      </c>
      <c r="K2" s="103" t="s">
        <v>160</v>
      </c>
      <c r="L2" s="103" t="s">
        <v>160</v>
      </c>
      <c r="M2" s="103" t="s">
        <v>160</v>
      </c>
      <c r="N2" s="104" t="s">
        <v>160</v>
      </c>
      <c r="O2" s="105" t="s">
        <v>161</v>
      </c>
      <c r="P2" s="103" t="s">
        <v>161</v>
      </c>
      <c r="Q2" s="103" t="s">
        <v>161</v>
      </c>
      <c r="R2" s="103" t="s">
        <v>161</v>
      </c>
      <c r="S2" s="104" t="s">
        <v>161</v>
      </c>
      <c r="T2" s="99"/>
      <c r="U2" s="102"/>
      <c r="V2" s="102"/>
      <c r="W2" s="102"/>
      <c r="X2" s="102"/>
      <c r="Y2" s="102"/>
      <c r="Z2" s="102"/>
      <c r="AA2" s="102"/>
      <c r="AB2" s="102"/>
      <c r="AC2" s="102"/>
      <c r="AD2" s="102"/>
      <c r="AE2" s="102"/>
    </row>
    <row r="3" spans="1:31" ht="23.65" customHeight="1">
      <c r="A3" s="106" t="s">
        <v>93</v>
      </c>
      <c r="B3" s="106" t="s">
        <v>93</v>
      </c>
      <c r="C3" s="106" t="s">
        <v>93</v>
      </c>
      <c r="D3" s="106" t="s">
        <v>93</v>
      </c>
      <c r="E3" s="106" t="s">
        <v>93</v>
      </c>
      <c r="F3" s="107" t="s">
        <v>93</v>
      </c>
      <c r="G3" s="103" t="s">
        <v>93</v>
      </c>
      <c r="H3" s="103" t="s">
        <v>93</v>
      </c>
      <c r="I3" s="103" t="s">
        <v>93</v>
      </c>
      <c r="J3" s="105" t="s">
        <v>94</v>
      </c>
      <c r="K3" s="103" t="s">
        <v>162</v>
      </c>
      <c r="L3" s="108" t="s">
        <v>163</v>
      </c>
      <c r="M3" s="66" t="s">
        <v>164</v>
      </c>
      <c r="N3" s="109" t="s">
        <v>88</v>
      </c>
      <c r="O3" s="105" t="s">
        <v>94</v>
      </c>
      <c r="P3" s="103" t="s">
        <v>86</v>
      </c>
      <c r="Q3" s="108" t="s">
        <v>163</v>
      </c>
      <c r="R3" s="66" t="s">
        <v>164</v>
      </c>
      <c r="S3" s="109" t="s">
        <v>88</v>
      </c>
      <c r="T3" s="103" t="s">
        <v>111</v>
      </c>
      <c r="U3" s="102"/>
      <c r="V3" s="102"/>
      <c r="W3" s="102"/>
      <c r="X3" s="102"/>
      <c r="Y3" s="102"/>
      <c r="Z3" s="102"/>
      <c r="AA3" s="102"/>
      <c r="AB3" s="102"/>
      <c r="AC3" s="102"/>
      <c r="AD3" s="102"/>
      <c r="AE3" s="102"/>
    </row>
    <row r="4" spans="1:31">
      <c r="A4" s="110" t="s">
        <v>8</v>
      </c>
      <c r="B4" s="110" t="s">
        <v>8</v>
      </c>
      <c r="C4" s="110" t="s">
        <v>8</v>
      </c>
      <c r="D4" s="110" t="s">
        <v>1</v>
      </c>
      <c r="E4" s="111" t="s">
        <v>112</v>
      </c>
      <c r="F4" s="112" t="s">
        <v>112</v>
      </c>
      <c r="G4" s="113" t="s">
        <v>112</v>
      </c>
      <c r="H4" s="110" t="s">
        <v>112</v>
      </c>
      <c r="I4" s="110" t="s">
        <v>112</v>
      </c>
      <c r="J4" s="113" t="s">
        <v>1</v>
      </c>
      <c r="K4" s="114" t="s">
        <v>96</v>
      </c>
      <c r="L4" s="115" t="s">
        <v>97</v>
      </c>
      <c r="M4" s="68" t="s">
        <v>98</v>
      </c>
      <c r="N4" s="116" t="s">
        <v>97</v>
      </c>
      <c r="O4" s="113" t="s">
        <v>1</v>
      </c>
      <c r="P4" s="114" t="s">
        <v>96</v>
      </c>
      <c r="Q4" s="115" t="s">
        <v>97</v>
      </c>
      <c r="R4" s="68" t="s">
        <v>98</v>
      </c>
      <c r="S4" s="116" t="s">
        <v>97</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165</v>
      </c>
      <c r="B1" s="136" t="s">
        <v>166</v>
      </c>
      <c r="C1" s="136" t="s">
        <v>167</v>
      </c>
      <c r="D1" s="136" t="s">
        <v>168</v>
      </c>
      <c r="E1" s="136" t="s">
        <v>169</v>
      </c>
      <c r="F1" s="136" t="s">
        <v>170</v>
      </c>
      <c r="G1" s="136" t="s">
        <v>171</v>
      </c>
      <c r="H1" s="136" t="s">
        <v>172</v>
      </c>
      <c r="I1" s="167" t="s">
        <v>173</v>
      </c>
      <c r="J1" s="167"/>
      <c r="K1" s="167"/>
      <c r="L1" s="167"/>
      <c r="M1" s="136" t="s">
        <v>174</v>
      </c>
    </row>
    <row r="2" spans="1:13">
      <c r="A2" t="s">
        <v>175</v>
      </c>
      <c r="B2" t="s">
        <v>49</v>
      </c>
      <c r="C2" t="s">
        <v>176</v>
      </c>
      <c r="D2" t="s">
        <v>45</v>
      </c>
      <c r="E2" t="s">
        <v>177</v>
      </c>
      <c r="F2" t="s">
        <v>178</v>
      </c>
      <c r="G2" t="s">
        <v>179</v>
      </c>
      <c r="H2" t="s">
        <v>180</v>
      </c>
      <c r="I2" t="s">
        <v>181</v>
      </c>
      <c r="K2" t="s">
        <v>182</v>
      </c>
      <c r="M2" t="s">
        <v>183</v>
      </c>
    </row>
    <row r="3" spans="1:13">
      <c r="A3" t="s">
        <v>184</v>
      </c>
      <c r="B3" t="s">
        <v>185</v>
      </c>
      <c r="C3" t="s">
        <v>186</v>
      </c>
      <c r="D3" t="s">
        <v>187</v>
      </c>
      <c r="E3" t="s">
        <v>188</v>
      </c>
      <c r="F3" t="s">
        <v>189</v>
      </c>
      <c r="G3" t="s">
        <v>190</v>
      </c>
      <c r="H3" t="s">
        <v>191</v>
      </c>
      <c r="I3" t="s">
        <v>192</v>
      </c>
      <c r="J3" t="s">
        <v>193</v>
      </c>
      <c r="K3" t="s">
        <v>194</v>
      </c>
      <c r="L3" t="s">
        <v>195</v>
      </c>
      <c r="M3" t="s">
        <v>196</v>
      </c>
    </row>
    <row r="4" spans="1:13">
      <c r="A4" t="s">
        <v>197</v>
      </c>
      <c r="B4" t="s">
        <v>198</v>
      </c>
      <c r="C4" t="s">
        <v>199</v>
      </c>
      <c r="D4" t="s">
        <v>200</v>
      </c>
      <c r="E4" t="s">
        <v>201</v>
      </c>
      <c r="F4" t="s">
        <v>202</v>
      </c>
      <c r="G4" t="s">
        <v>203</v>
      </c>
      <c r="H4" t="s">
        <v>204</v>
      </c>
      <c r="K4" t="s">
        <v>205</v>
      </c>
      <c r="L4" t="s">
        <v>206</v>
      </c>
      <c r="M4" s="137" t="s">
        <v>207</v>
      </c>
    </row>
    <row r="5" spans="1:13">
      <c r="A5" t="s">
        <v>208</v>
      </c>
      <c r="B5" t="s">
        <v>198</v>
      </c>
      <c r="C5" t="s">
        <v>43</v>
      </c>
      <c r="D5" t="s">
        <v>209</v>
      </c>
      <c r="E5" t="s">
        <v>47</v>
      </c>
      <c r="F5" t="s">
        <v>210</v>
      </c>
      <c r="G5" t="s">
        <v>211</v>
      </c>
      <c r="H5" t="s">
        <v>212</v>
      </c>
      <c r="I5" t="s">
        <v>213</v>
      </c>
      <c r="J5" t="s">
        <v>214</v>
      </c>
      <c r="M5" s="137" t="s">
        <v>215</v>
      </c>
    </row>
    <row r="6" spans="1:13">
      <c r="A6" t="s">
        <v>216</v>
      </c>
      <c r="B6" t="s">
        <v>217</v>
      </c>
      <c r="C6" t="s">
        <v>218</v>
      </c>
      <c r="D6" t="s">
        <v>219</v>
      </c>
      <c r="E6" t="s">
        <v>220</v>
      </c>
      <c r="F6" t="s">
        <v>221</v>
      </c>
      <c r="G6" t="s">
        <v>222</v>
      </c>
      <c r="H6" t="s">
        <v>223</v>
      </c>
      <c r="I6" t="s">
        <v>224</v>
      </c>
      <c r="J6" t="s">
        <v>225</v>
      </c>
      <c r="M6" s="137" t="s">
        <v>226</v>
      </c>
    </row>
    <row r="7" spans="1:13">
      <c r="A7" t="s">
        <v>227</v>
      </c>
      <c r="B7" t="s">
        <v>228</v>
      </c>
      <c r="D7" t="s">
        <v>229</v>
      </c>
      <c r="F7" t="s">
        <v>230</v>
      </c>
      <c r="G7" t="s">
        <v>231</v>
      </c>
      <c r="H7" t="s">
        <v>232</v>
      </c>
      <c r="M7" s="137" t="s">
        <v>233</v>
      </c>
    </row>
    <row r="8" spans="1:13">
      <c r="A8" t="s">
        <v>234</v>
      </c>
      <c r="B8" t="s">
        <v>235</v>
      </c>
      <c r="D8" t="s">
        <v>236</v>
      </c>
      <c r="F8" t="s">
        <v>237</v>
      </c>
      <c r="G8" t="s">
        <v>238</v>
      </c>
      <c r="H8" t="s">
        <v>239</v>
      </c>
      <c r="M8" s="137" t="s">
        <v>240</v>
      </c>
    </row>
    <row r="9" spans="1:13">
      <c r="A9" t="s">
        <v>241</v>
      </c>
      <c r="B9" t="s">
        <v>242</v>
      </c>
      <c r="D9" t="s">
        <v>243</v>
      </c>
      <c r="F9" t="s">
        <v>244</v>
      </c>
      <c r="G9" t="s">
        <v>245</v>
      </c>
      <c r="H9" t="s">
        <v>246</v>
      </c>
      <c r="M9" s="137" t="s">
        <v>247</v>
      </c>
    </row>
    <row r="10" spans="1:13">
      <c r="A10" t="s">
        <v>248</v>
      </c>
      <c r="B10" t="s">
        <v>249</v>
      </c>
      <c r="D10" t="s">
        <v>250</v>
      </c>
      <c r="F10" t="s">
        <v>251</v>
      </c>
      <c r="H10" t="s">
        <v>252</v>
      </c>
      <c r="M10" s="137" t="s">
        <v>253</v>
      </c>
    </row>
    <row r="11" spans="1:13">
      <c r="A11" t="s">
        <v>254</v>
      </c>
      <c r="B11" t="s">
        <v>255</v>
      </c>
      <c r="F11" t="s">
        <v>256</v>
      </c>
      <c r="H11" t="s">
        <v>257</v>
      </c>
      <c r="M11" s="137" t="s">
        <v>258</v>
      </c>
    </row>
    <row r="12" spans="1:13">
      <c r="A12" t="s">
        <v>259</v>
      </c>
      <c r="B12" t="s">
        <v>260</v>
      </c>
      <c r="F12" t="s">
        <v>261</v>
      </c>
      <c r="H12" t="s">
        <v>262</v>
      </c>
      <c r="M12" s="137" t="s">
        <v>263</v>
      </c>
    </row>
    <row r="13" spans="1:13">
      <c r="A13" t="s">
        <v>264</v>
      </c>
      <c r="B13" t="s">
        <v>265</v>
      </c>
      <c r="F13" t="s">
        <v>266</v>
      </c>
      <c r="H13" t="s">
        <v>267</v>
      </c>
    </row>
    <row r="14" spans="1:13" ht="15">
      <c r="A14" s="138" t="s">
        <v>3</v>
      </c>
      <c r="B14" t="s">
        <v>268</v>
      </c>
      <c r="F14" t="s">
        <v>269</v>
      </c>
    </row>
    <row r="15" spans="1:13" ht="15">
      <c r="A15" s="138" t="s">
        <v>270</v>
      </c>
      <c r="B15" t="s">
        <v>271</v>
      </c>
      <c r="F15" t="s">
        <v>272</v>
      </c>
    </row>
    <row r="16" spans="1:13" ht="15">
      <c r="A16" s="138" t="s">
        <v>273</v>
      </c>
      <c r="B16" t="s">
        <v>274</v>
      </c>
      <c r="F16" t="s">
        <v>275</v>
      </c>
    </row>
    <row r="17" spans="1:6">
      <c r="A17" t="s">
        <v>276</v>
      </c>
      <c r="B17" t="s">
        <v>277</v>
      </c>
      <c r="F17" t="s">
        <v>278</v>
      </c>
    </row>
    <row r="18" spans="1:6">
      <c r="A18" t="s">
        <v>279</v>
      </c>
      <c r="B18" t="s">
        <v>280</v>
      </c>
      <c r="F18" t="s">
        <v>281</v>
      </c>
    </row>
    <row r="19" spans="1:6">
      <c r="A19" t="s">
        <v>282</v>
      </c>
      <c r="B19" t="s">
        <v>283</v>
      </c>
      <c r="D19" s="139"/>
      <c r="E19" s="139"/>
      <c r="F19" t="s">
        <v>284</v>
      </c>
    </row>
    <row r="20" spans="1:6">
      <c r="A20" t="s">
        <v>285</v>
      </c>
      <c r="B20" t="s">
        <v>286</v>
      </c>
      <c r="D20" s="139"/>
      <c r="E20" s="139"/>
    </row>
    <row r="21" spans="1:6">
      <c r="A21" t="s">
        <v>287</v>
      </c>
      <c r="B21" t="s">
        <v>221</v>
      </c>
      <c r="D21" s="139"/>
      <c r="E21" s="139"/>
    </row>
    <row r="22" spans="1:6">
      <c r="A22" t="s">
        <v>288</v>
      </c>
    </row>
    <row r="23" spans="1:6">
      <c r="A23" t="s">
        <v>289</v>
      </c>
    </row>
    <row r="24" spans="1:6">
      <c r="A24" t="s">
        <v>290</v>
      </c>
    </row>
    <row r="25" spans="1:6">
      <c r="A25" t="s">
        <v>291</v>
      </c>
    </row>
    <row r="26" spans="1:6">
      <c r="A26" t="s">
        <v>292</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2026-02-17T16:47:18Z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