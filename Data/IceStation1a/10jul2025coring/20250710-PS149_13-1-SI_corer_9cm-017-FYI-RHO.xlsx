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1a\10jul2025coring\"/>
    </mc:Choice>
  </mc:AlternateContent>
  <xr:revisionPtr revIDLastSave="0" documentId="13_ncr:1_{6C47DC92-ADF5-4062-B539-255E2188B9B0}" xr6:coauthVersionLast="47" xr6:coauthVersionMax="47" xr10:uidLastSave="{00000000-0000-0000-0000-000000000000}"/>
  <bookViews>
    <workbookView xWindow="-108" yWindow="-108" windowWidth="23256" windowHeight="12456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17" i="7" l="1"/>
  <c r="G16" i="7"/>
  <c r="G15" i="7"/>
  <c r="G14" i="7"/>
  <c r="G13" i="7"/>
  <c r="G12" i="7"/>
  <c r="G11" i="7"/>
  <c r="G10" i="7"/>
  <c r="G9" i="7"/>
  <c r="G8" i="7"/>
  <c r="G7" i="7"/>
  <c r="G6" i="7"/>
  <c r="G5" i="7"/>
  <c r="G4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<sst xmlns="http://schemas.openxmlformats.org/spreadsheetml/2006/main" count="682" uniqueCount="331">
  <si>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</si>
  <si>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</si>
  <si>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</si>
  <si>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</si>
  <si>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</si>
  <si>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</si>
  <si>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</si>
  <si>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</si>
  <si>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</si>
  <si>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</si>
  <si>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</si>
  <si>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</si>
  <si>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</si>
  <si>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</si>
  <si>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</si>
  <si>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</si>
  <si>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</si>
  <si>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</si>
  <si>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</si>
  <si>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</si>
  <si>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</si>
  <si>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</si>
  <si>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SYI dark 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</si>
  <si>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</si>
  <si>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</si>
  <si>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</si>
  <si>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</si>
  <si>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</si>
  <si>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</si>
  <si>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</si>
  <si>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</si>
  <si>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</si>
  <si>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</si>
  <si>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</si>
  <si>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</si>
  <si>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</si>
  <si>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</si>
  <si>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</si>
  <si>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</si>
  <si>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</si>
  <si>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</si>
  <si>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</si>
  <si>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</si>
  <si>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</si>
  <si>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</si>
  <si>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</si>
  <si>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</si>
  <si>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</si>
  <si>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</si>
  <si>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</si>
  <si>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</si>
  <si>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</si>
  <si>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</si>
  <si>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</si>
  <si>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</si>
  <si>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</si>
  <si>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</si>
  <si>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</si>
  <si>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</si>
  <si>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</si>
  <si>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</si>
  <si>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</si>
  <si>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</si>
  <si>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</si>
  <si>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</si>
  <si>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</si>
  <si>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</si>
  <si>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</si>
  <si>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</si>
  <si>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</si>
  <si>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</si>
  <si>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</si>
  <si>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</si>
  <si>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</si>
  <si>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</si>
  <si>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</si>
  <si>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</si>
  <si>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</si>
  <si>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</si>
  <si>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</si>
  <si>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</si>
  <si>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</si>
  <si>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</si>
  <si>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</si>
  <si>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</si>
  <si>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</si>
  <si>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</si>
  <si>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</si>
  <si>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</si>
  <si>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</si>
  <si>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</si>
  <si>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</si>
  <si>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</si>
  <si>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</si>
  <si>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</si>
  <si>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</si>
  <si>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</si>
  <si>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</si>
  <si>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</si>
  <si>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</si>
  <si>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</si>
  <si>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</si>
  <si>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</si>
  <si>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</si>
  <si>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</si>
  <si>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</si>
  <si>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</si>
  <si>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</si>
  <si>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</si>
  <si>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</si>
  <si>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</si>
  <si>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</si>
  <si>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</si>
  <si>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</si>
  <si>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</si>
  <si>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</si>
  <si>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</si>
  <si>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</si>
  <si>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</si>
  <si>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</si>
  <si>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</si>
  <si>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</si>
  <si>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</si>
  <si>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</si>
  <si>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</si>
  <si>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</si>
  <si>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</si>
  <si>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</si>
  <si>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</si>
  <si>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</si>
  <si>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</si>
  <si>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</si>
  <si>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</si>
  <si>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</si>
  <si>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</si>
  <si>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</si>
  <si>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</si>
  <si>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</si>
  <si>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</si>
  <si>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</si>
  <si>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</si>
  <si>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</si>
  <si>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</si>
  <si>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</si>
  <si>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</si>
  <si>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</si>
  <si>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</si>
  <si>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</si>
  <si>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</si>
  <si>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</si>
  <si>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</si>
  <si>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</si>
  <si>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</si>
  <si>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</si>
  <si>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</si>
  <si>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</si>
  <si>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</si>
  <si>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</si>
  <si>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</si>
  <si>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</si>
  <si>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</si>
  <si>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</si>
  <si>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</si>
  <si>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</si>
  <si>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</si>
  <si>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</si>
  <si>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</si>
  <si>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</si>
  <si>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</si>
  <si>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</si>
  <si>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</si>
  <si>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</si>
  <si>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</si>
  <si>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</si>
  <si>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</si>
  <si>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</si>
  <si>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</si>
  <si>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</si>
  <si>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</si>
  <si>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</si>
  <si>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</si>
  <si>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</si>
  <si>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</si>
  <si>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</si>
  <si>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</si>
  <si>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</si>
  <si>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</si>
  <si>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</si>
  <si>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</si>
  <si>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</si>
  <si>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</si>
  <si>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</si>
  <si>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</si>
  <si>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</si>
  <si>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</si>
  <si>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</si>
  <si>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</si>
  <si>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</si>
  <si>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</si>
  <si>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</si>
  <si>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</si>
  <si>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</si>
  <si>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</si>
  <si>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</si>
  <si>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</si>
  <si>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</si>
  <si>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</si>
  <si>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</si>
  <si>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</si>
  <si>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</si>
  <si>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</si>
  <si>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</si>
  <si>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</si>
  <si>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</si>
  <si>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</si>
  <si>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</si>
  <si>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</si>
  <si>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</si>
  <si>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</si>
  <si>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</si>
  <si>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</si>
  <si>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</si>
  <si>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</si>
  <si>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</si>
  <si>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</si>
  <si>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</si>
  <si>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</si>
  <si>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</si>
  <si>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</si>
  <si>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</si>
  <si>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</si>
  <si>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</si>
  <si>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</si>
  <si>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</si>
  <si>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</si>
  <si>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</si>
  <si>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</si>
  <si>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</si>
  <si>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</si>
  <si>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</si>
  <si>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</si>
  <si>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</si>
  <si>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</si>
  <si>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</si>
  <si>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</si>
  <si>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</si>
  <si>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</si>
  <si>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</si>
  <si>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</si>
  <si>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</si>
  <si>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</si>
  <si>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</si>
  <si>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</si>
  <si>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</si>
  <si>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</si>
  <si>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</si>
  <si>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</si>
  <si>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</si>
  <si>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</si>
  <si>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</si>
  <si>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</si>
  <si>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</si>
  <si>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</si>
  <si>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</si>
  <si>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</si>
  <si>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</si>
  <si>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</si>
  <si>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</si>
  <si>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</si>
  <si>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</si>
  <si>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</si>
  <si>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</si>
  <si>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</si>
  <si>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</si>
  <si>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</si>
  <si>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</si>
  <si>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</si>
  <si>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</si>
  <si>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</si>
  <si>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</si>
  <si>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</si>
  <si>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</si>
  <si>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</si>
  <si>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</si>
  <si>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</si>
  <si>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</si>
  <si>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</si>
  <si>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</si>
  <si>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</si>
  <si>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</si>
  <si>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</si>
  <si>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</si>
  <si>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</si>
  <si>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</si>
  <si>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</si>
  <si>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</si>
  <si>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</si>
  <si>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20250710-PS_149-FYI</t>
  </si>
  <si>
    <t>FYI ice Station 1, coring ion the refrozing lead on the coring site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</si>
  <si>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</si>
  <si>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</si>
  <si>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</si>
  <si>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</si>
  <si>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</si>
  <si>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</si>
  <si>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</si>
  <si>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</si>
  <si>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</si>
  <si>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</si>
  <si>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</si>
  <si>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</si>
  <si>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</si>
  <si>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</si>
  <si>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large crystals, granular ice/scatter layer</t>
  </si>
  <si>
    <t>g / cm3</t>
  </si>
  <si>
    <t>bubbles out</t>
  </si>
  <si>
    <t>Tlab=-17</t>
  </si>
  <si>
    <t>rho_parafine=0.834</t>
  </si>
  <si>
    <t>balance impossible to calibrate due to vessels vibrations. Measured weights accurate down to 0.5 g</t>
  </si>
  <si>
    <t>CONTRASTS-PS_149</t>
  </si>
  <si>
    <t>PS149-1a</t>
  </si>
  <si>
    <t>20250710-PS149_13-1-SI_corer_9cm-019-FYI-T</t>
  </si>
  <si>
    <t>20250710-PS149_13-1-SI_corer_9cm-017-FYI-RHO</t>
  </si>
  <si>
    <t>20250710-PS149_13-1-SI_corer_9cm-018-FYI-SALO18</t>
  </si>
  <si>
    <t>20250710-PS149_13-1-SI_corer_9cm-016-FYI-REP</t>
  </si>
  <si>
    <t>20250710-PS149_13-1-SI_corer_9cm-020-FYI-TEX</t>
  </si>
  <si>
    <t>Dmitry Divine</t>
  </si>
  <si>
    <t>Emiliano Cimoli</t>
  </si>
  <si>
    <t>Kovacs 9 cm</t>
  </si>
  <si>
    <t>densinometry</t>
  </si>
  <si>
    <t>Shimadzu balance UX4200H+SK101 specific gravity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</si>
</sst>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dd\-mmm\-yy"/>
    <numFmt numFmtId="166" formatCode="hh:mm:ss\ AM/PM"/>
    <numFmt numFmtId="167" formatCode="0.000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5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5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</a:p>
        </c:rich>
      </c:tx>
      <c:layout>
        <c:manualLayout>
          <c:xMode val="edge"/>
          <c:yMode val="edge"/>
          <c:x val="0.36782633420822403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SALO18!$C$5:$C$18</c:f>
              <c:numCache>
                <c:formatCode>0.00</c:formatCode>
                <c:ptCount val="14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0.39</c:v>
                </c:pt>
                <c:pt idx="8">
                  <c:v>0.45499999999999996</c:v>
                </c:pt>
                <c:pt idx="9">
                  <c:v>0.505</c:v>
                </c:pt>
                <c:pt idx="10">
                  <c:v>0.55499999999999994</c:v>
                </c:pt>
                <c:pt idx="11">
                  <c:v>0.60499999999999998</c:v>
                </c:pt>
                <c:pt idx="12">
                  <c:v>0.65500000000000003</c:v>
                </c:pt>
                <c:pt idx="13">
                  <c:v>0.70500000000000007</c:v>
                </c:pt>
              </c:numCache>
            </c:numRef>
          </c:xVal>
          <c:yVal>
            <c:numRef>
              <c:f>SALO18!$E$5:$E$18</c:f>
              <c:numCache>
                <c:formatCode>General</c:formatCode>
                <c:ptCount val="14"/>
                <c:pt idx="0">
                  <c:v>2.6</c:v>
                </c:pt>
                <c:pt idx="1">
                  <c:v>3.2</c:v>
                </c:pt>
                <c:pt idx="2">
                  <c:v>2.6</c:v>
                </c:pt>
                <c:pt idx="3">
                  <c:v>2.7</c:v>
                </c:pt>
                <c:pt idx="4">
                  <c:v>3.1</c:v>
                </c:pt>
                <c:pt idx="5">
                  <c:v>3.6</c:v>
                </c:pt>
                <c:pt idx="6">
                  <c:v>3.6</c:v>
                </c:pt>
                <c:pt idx="7">
                  <c:v>3.7</c:v>
                </c:pt>
                <c:pt idx="8">
                  <c:v>3.6</c:v>
                </c:pt>
                <c:pt idx="9">
                  <c:v>3.9</c:v>
                </c:pt>
                <c:pt idx="10">
                  <c:v>3.7</c:v>
                </c:pt>
                <c:pt idx="11">
                  <c:v>3.6</c:v>
                </c:pt>
                <c:pt idx="12">
                  <c:v>3.1</c:v>
                </c:pt>
                <c:pt idx="13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79-4C6F-8FBB-E292E9293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166559"/>
        <c:axId val="1383184799"/>
      </c:scatterChart>
      <c:valAx>
        <c:axId val="138316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83184799"/>
        <c:crosses val="autoZero"/>
        <c:crossBetween val="midCat"/>
      </c:valAx>
      <c:valAx>
        <c:axId val="138318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8316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'Density-densimetry'!$C$4:$C$17</c:f>
              <c:numCache>
                <c:formatCode>0.00</c:formatCode>
                <c:ptCount val="14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0.39</c:v>
                </c:pt>
                <c:pt idx="8">
                  <c:v>0.45499999999999996</c:v>
                </c:pt>
                <c:pt idx="9">
                  <c:v>0.505</c:v>
                </c:pt>
                <c:pt idx="10">
                  <c:v>0.55499999999999994</c:v>
                </c:pt>
                <c:pt idx="11">
                  <c:v>0.60499999999999998</c:v>
                </c:pt>
                <c:pt idx="12">
                  <c:v>0.65500000000000003</c:v>
                </c:pt>
                <c:pt idx="13">
                  <c:v>0.70500000000000007</c:v>
                </c:pt>
              </c:numCache>
            </c:numRef>
          </c:xVal>
          <c:yVal>
            <c:numRef>
              <c:f>'Density-densimetry'!$G$4:$G$17</c:f>
              <c:numCache>
                <c:formatCode>0.000</c:formatCode>
                <c:ptCount val="14"/>
                <c:pt idx="0">
                  <c:v>0.85496115765422698</c:v>
                </c:pt>
                <c:pt idx="1">
                  <c:v>0.8401961367013373</c:v>
                </c:pt>
                <c:pt idx="2">
                  <c:v>0.84606597222222213</c:v>
                </c:pt>
                <c:pt idx="3">
                  <c:v>0.84469230769230763</c:v>
                </c:pt>
                <c:pt idx="4">
                  <c:v>0.86287576374745423</c:v>
                </c:pt>
                <c:pt idx="5">
                  <c:v>0.87692647058823514</c:v>
                </c:pt>
                <c:pt idx="6">
                  <c:v>0.89874558032282847</c:v>
                </c:pt>
                <c:pt idx="7">
                  <c:v>0.91092233009708734</c:v>
                </c:pt>
                <c:pt idx="8">
                  <c:v>0.91705959183673469</c:v>
                </c:pt>
                <c:pt idx="9">
                  <c:v>0.89994571203776552</c:v>
                </c:pt>
                <c:pt idx="10">
                  <c:v>0.90830675345809608</c:v>
                </c:pt>
                <c:pt idx="11">
                  <c:v>0.91936524300441824</c:v>
                </c:pt>
                <c:pt idx="12">
                  <c:v>0.91979511358765531</c:v>
                </c:pt>
                <c:pt idx="13">
                  <c:v>0.91932791095890409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E-4607-8CB4-C8D24ADB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192959"/>
        <c:axId val="1383193439"/>
      </c:scatterChart>
      <c:valAx>
        <c:axId val="1383192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83193439"/>
        <c:crosses val="autoZero"/>
        <c:crossBetween val="midCat"/>
      </c:valAx>
      <c:valAx>
        <c:axId val="138319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383192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71718</xdr:colOff>
      <xdr:row>4</xdr:row>
      <xdr:rowOff>161365</xdr:rowOff>
    </xdr:from>
    <xdr:to>
      <xdr:col>19</xdr:col>
      <xdr:colOff>107577</xdr:colOff>
      <xdr:row>20</xdr:row>
      <xdr:rowOff>35859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E61D5E-0BFE-4BDE-1FAB-296FD8968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53787</xdr:colOff>
      <xdr:row>1</xdr:row>
      <xdr:rowOff>430306</xdr:rowOff>
    </xdr:from>
    <xdr:to>
      <xdr:col>18</xdr:col>
      <xdr:colOff>475129</xdr:colOff>
      <xdr:row>16</xdr:row>
      <xdr:rowOff>134471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F429F-E23B-280A-17EB-EB93A51B9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G18" sqref="G18"/>
    </sheetView>
  </sheetViews>
  <sheetFormatPr defaultColWidth="13.625" defaultRowHeight="13.8"/>
  <cols>
    <col min="1" max="1025" width="13.625" style="6"/>
  </cols>
  <sheetData>
    <row r="1" spans="1:6">
      <c r="A1" s="7" t="s">
        <v>0</v>
      </c>
      <c r="B1" s="8" t="s">
        <v>1</v>
      </c>
      <c r="C1" s="144" t="s">
        <v>297</v>
      </c>
      <c r="D1" s="144"/>
      <c r="E1" s="144"/>
      <c r="F1" s="9"/>
    </row>
    <row r="2" spans="1:6" ht="14.4">
      <c r="A2" s="7" t="s">
        <v>2</v>
      </c>
      <c r="B2" s="8"/>
      <c r="C2" s="10">
        <v>45848</v>
      </c>
      <c r="D2" s="11" t="s">
        <v>3</v>
      </c>
      <c r="E2" s="9"/>
      <c r="F2" s="9"/>
    </row>
    <row r="3" spans="1:6" ht="14.4">
      <c r="A3" s="7" t="s">
        <v>4</v>
      </c>
      <c r="B3" s="8"/>
      <c r="C3" s="12"/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4"/>
      <c r="D4" s="144"/>
      <c r="E4" s="144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0.67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0.65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0.73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4" t="s">
        <v>328</v>
      </c>
      <c r="D13" s="144"/>
      <c r="E13" s="144"/>
      <c r="F13" s="144"/>
    </row>
    <row r="14" spans="1:6">
      <c r="A14" s="6" t="s">
        <v>329</v>
      </c>
      <c r="C14" s="6" t="s">
        <v>330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14" zoomScale="85" zoomScaleNormal="85" workbookViewId="0">
      <selection activeCell="E38" sqref="E38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319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22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23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24</v>
      </c>
      <c r="D6" s="152"/>
      <c r="E6" s="152"/>
      <c r="F6" s="145" t="s">
        <v>25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26</v>
      </c>
      <c r="D7" s="27" t="s">
        <v>27</v>
      </c>
      <c r="E7" s="28" t="s">
        <v>28</v>
      </c>
      <c r="F7" s="27" t="s">
        <v>26</v>
      </c>
      <c r="G7" s="27" t="s">
        <v>27</v>
      </c>
      <c r="H7" s="27" t="s">
        <v>28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29</v>
      </c>
      <c r="B8" s="29" t="s">
        <v>30</v>
      </c>
      <c r="D8" s="30"/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31</v>
      </c>
      <c r="B9" s="33" t="s">
        <v>32</v>
      </c>
      <c r="D9" s="34"/>
      <c r="E9" s="35"/>
      <c r="G9" s="3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33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24</v>
      </c>
      <c r="D11" s="3" t="s">
        <v>25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34</v>
      </c>
      <c r="B12" s="37" t="s">
        <v>35</v>
      </c>
      <c r="C12" s="38"/>
      <c r="D12" s="38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36</v>
      </c>
      <c r="B13" s="37" t="s">
        <v>37</v>
      </c>
      <c r="C13" s="39"/>
      <c r="D13" s="39"/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38</v>
      </c>
      <c r="B14" s="41" t="s">
        <v>39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40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41</v>
      </c>
      <c r="B16" s="43" t="s">
        <v>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42</v>
      </c>
      <c r="B17" s="46" t="s">
        <v>8</v>
      </c>
      <c r="C17" s="47"/>
      <c r="D17" s="22" t="s">
        <v>43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44</v>
      </c>
      <c r="B18" s="46" t="s">
        <v>8</v>
      </c>
      <c r="C18" s="47"/>
      <c r="D18" s="22" t="s">
        <v>43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45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46</v>
      </c>
      <c r="B20" s="46" t="s">
        <v>1</v>
      </c>
      <c r="C20" s="48" t="s">
        <v>203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48</v>
      </c>
      <c r="B21" s="46" t="s">
        <v>1</v>
      </c>
      <c r="C21" s="48" t="s">
        <v>49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50</v>
      </c>
      <c r="B22" s="46" t="s">
        <v>1</v>
      </c>
      <c r="C22" s="48" t="s">
        <v>51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52</v>
      </c>
      <c r="B23" s="43" t="s">
        <v>1</v>
      </c>
      <c r="C23" t="s">
        <v>202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54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55</v>
      </c>
      <c r="B25" s="43" t="s">
        <v>56</v>
      </c>
      <c r="D25" s="49" t="s">
        <v>57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58</v>
      </c>
      <c r="B26" s="46" t="s">
        <v>56</v>
      </c>
      <c r="C26" s="48"/>
      <c r="D26" s="50" t="s">
        <v>59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60</v>
      </c>
      <c r="B27" s="46" t="s">
        <v>56</v>
      </c>
      <c r="C27" s="48"/>
      <c r="D27" s="50" t="s">
        <v>61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62</v>
      </c>
      <c r="B28" s="43" t="s">
        <v>56</v>
      </c>
      <c r="D28" s="49" t="s">
        <v>63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64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65</v>
      </c>
      <c r="B30" s="51"/>
      <c r="C30" s="48" t="s">
        <v>320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66</v>
      </c>
      <c r="B31" s="51"/>
      <c r="C31" s="52" t="s">
        <v>321</v>
      </c>
      <c r="D31" s="52" t="s">
        <v>322</v>
      </c>
      <c r="E31" s="52" t="s">
        <v>323</v>
      </c>
      <c r="F31" s="52" t="s">
        <v>324</v>
      </c>
      <c r="G31" s="52" t="s">
        <v>325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67</v>
      </c>
      <c r="B32" s="51"/>
      <c r="C32" s="48" t="s">
        <v>326</v>
      </c>
      <c r="D32" t="s">
        <v>327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68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69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70</v>
      </c>
      <c r="B36" s="54"/>
      <c r="D36" s="22" t="s">
        <v>71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72</v>
      </c>
      <c r="B37" s="51"/>
      <c r="C37" s="48"/>
      <c r="D37" s="22" t="s">
        <v>73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74</v>
      </c>
      <c r="B38" s="51"/>
      <c r="C38" s="55"/>
      <c r="D38" s="22" t="s">
        <v>75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76</v>
      </c>
      <c r="B39" s="36"/>
      <c r="C39" t="s">
        <v>77</v>
      </c>
      <c r="D39" s="22" t="s">
        <v>78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76</v>
      </c>
      <c r="B40" s="36"/>
      <c r="C40" t="s">
        <v>77</v>
      </c>
      <c r="D40" s="22" t="s">
        <v>79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80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298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G18" sqref="G18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81</v>
      </c>
      <c r="B1" s="56" t="s">
        <v>82</v>
      </c>
      <c r="C1" s="6" t="s">
        <v>83</v>
      </c>
      <c r="D1" s="14"/>
      <c r="E1" s="57" t="s">
        <v>84</v>
      </c>
      <c r="F1" s="6" t="s">
        <v>85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86</v>
      </c>
      <c r="B2" s="58" t="s">
        <v>87</v>
      </c>
      <c r="C2" s="58" t="s">
        <v>88</v>
      </c>
      <c r="D2" s="1" t="s">
        <v>89</v>
      </c>
      <c r="E2" s="58" t="s">
        <v>90</v>
      </c>
      <c r="F2" s="58" t="s">
        <v>91</v>
      </c>
      <c r="G2" s="58" t="s">
        <v>91</v>
      </c>
      <c r="H2" s="58" t="s">
        <v>92</v>
      </c>
      <c r="I2" s="1" t="s">
        <v>93</v>
      </c>
      <c r="J2" s="1" t="s">
        <v>93</v>
      </c>
      <c r="K2" s="1" t="s">
        <v>94</v>
      </c>
      <c r="L2" s="1" t="s">
        <v>94</v>
      </c>
      <c r="M2" s="58" t="s">
        <v>95</v>
      </c>
      <c r="N2" s="58" t="s">
        <v>96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97</v>
      </c>
      <c r="B3" s="58" t="s">
        <v>97</v>
      </c>
      <c r="C3" s="58" t="s">
        <v>97</v>
      </c>
      <c r="D3" s="58" t="s">
        <v>98</v>
      </c>
      <c r="E3" s="58" t="s">
        <v>97</v>
      </c>
      <c r="F3" s="58" t="s">
        <v>97</v>
      </c>
      <c r="G3" s="58" t="s">
        <v>99</v>
      </c>
      <c r="H3" s="58"/>
      <c r="I3" s="58" t="s">
        <v>98</v>
      </c>
      <c r="J3" s="58" t="s">
        <v>97</v>
      </c>
      <c r="K3" s="58" t="s">
        <v>98</v>
      </c>
      <c r="L3" s="58" t="s">
        <v>97</v>
      </c>
      <c r="M3" s="58" t="s">
        <v>97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100</v>
      </c>
      <c r="F4" s="61" t="s">
        <v>101</v>
      </c>
      <c r="G4" s="60" t="s">
        <v>102</v>
      </c>
      <c r="H4" s="61" t="s">
        <v>101</v>
      </c>
      <c r="I4" s="60" t="s">
        <v>1</v>
      </c>
      <c r="J4" s="60" t="s">
        <v>100</v>
      </c>
      <c r="K4" s="60" t="s">
        <v>1</v>
      </c>
      <c r="L4" s="60" t="s">
        <v>100</v>
      </c>
      <c r="M4" s="60" t="s">
        <v>103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>
        <f>AVERAGE(A5:B5)</f>
        <v>2.5000000000000001E-2</v>
      </c>
      <c r="D5" s="62" t="s">
        <v>299</v>
      </c>
      <c r="E5" s="62">
        <v>2.6</v>
      </c>
      <c r="F5" s="6">
        <v>4.84</v>
      </c>
      <c r="G5" s="6">
        <v>17.100000000000001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1">
        <v>0.1</v>
      </c>
      <c r="C6" s="142">
        <f t="shared" ref="C6:C18" si="0">AVERAGE(A6:B6)</f>
        <v>7.5000000000000011E-2</v>
      </c>
      <c r="D6" s="62" t="s">
        <v>300</v>
      </c>
      <c r="E6" s="62">
        <v>3.2</v>
      </c>
      <c r="F6" s="6">
        <v>5.94</v>
      </c>
      <c r="G6" s="6">
        <v>12.1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>
        <f t="shared" si="0"/>
        <v>0.125</v>
      </c>
      <c r="D7" s="62" t="s">
        <v>301</v>
      </c>
      <c r="E7" s="62">
        <v>2.6</v>
      </c>
      <c r="F7" s="6">
        <v>4.96</v>
      </c>
      <c r="G7" s="6">
        <v>14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1">
        <v>0.2</v>
      </c>
      <c r="C8" s="142">
        <f t="shared" si="0"/>
        <v>0.17499999999999999</v>
      </c>
      <c r="D8" s="62" t="s">
        <v>302</v>
      </c>
      <c r="E8" s="62">
        <v>2.7</v>
      </c>
      <c r="F8" s="6">
        <v>5</v>
      </c>
      <c r="G8" s="6">
        <v>14.6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0.25</v>
      </c>
      <c r="C9" s="142">
        <f t="shared" si="0"/>
        <v>0.22500000000000001</v>
      </c>
      <c r="D9" s="62" t="s">
        <v>303</v>
      </c>
      <c r="E9" s="62">
        <v>3.1</v>
      </c>
      <c r="F9" s="6">
        <v>5.84</v>
      </c>
      <c r="G9" s="6">
        <v>5.6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0.25</v>
      </c>
      <c r="B10" s="141">
        <v>0.3</v>
      </c>
      <c r="C10" s="142">
        <f t="shared" si="0"/>
        <v>0.27500000000000002</v>
      </c>
      <c r="D10" s="62" t="s">
        <v>304</v>
      </c>
      <c r="E10" s="62">
        <v>3.6</v>
      </c>
      <c r="F10" s="6">
        <v>6.77</v>
      </c>
      <c r="G10" s="6">
        <v>7.2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>
        <v>0.3</v>
      </c>
      <c r="B11" s="141">
        <v>0.35</v>
      </c>
      <c r="C11" s="142">
        <f t="shared" si="0"/>
        <v>0.32499999999999996</v>
      </c>
      <c r="D11" s="62" t="s">
        <v>305</v>
      </c>
      <c r="E11" s="62">
        <v>3.6</v>
      </c>
      <c r="F11" s="6">
        <v>6.71</v>
      </c>
      <c r="G11" s="6">
        <v>13.6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>
        <v>0.35</v>
      </c>
      <c r="B12" s="141">
        <v>0.43</v>
      </c>
      <c r="C12" s="142">
        <f t="shared" si="0"/>
        <v>0.39</v>
      </c>
      <c r="D12" s="62" t="s">
        <v>306</v>
      </c>
      <c r="E12" s="62">
        <v>3.7</v>
      </c>
      <c r="F12" s="6">
        <v>6.84</v>
      </c>
      <c r="G12" s="6">
        <v>12.4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>
        <v>0.43</v>
      </c>
      <c r="B13" s="141">
        <v>0.48</v>
      </c>
      <c r="C13" s="142">
        <f t="shared" si="0"/>
        <v>0.45499999999999996</v>
      </c>
      <c r="D13" s="62" t="s">
        <v>307</v>
      </c>
      <c r="E13" s="62">
        <v>3.6</v>
      </c>
      <c r="F13" s="6">
        <v>6.68</v>
      </c>
      <c r="G13" s="6">
        <v>14.2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>
        <v>0.48</v>
      </c>
      <c r="B14" s="141">
        <v>0.53</v>
      </c>
      <c r="C14" s="142">
        <f t="shared" si="0"/>
        <v>0.505</v>
      </c>
      <c r="D14" s="62" t="s">
        <v>308</v>
      </c>
      <c r="E14" s="62">
        <v>3.9</v>
      </c>
      <c r="F14" s="6">
        <v>7.18</v>
      </c>
      <c r="G14" s="6">
        <v>14.9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>
        <v>0.53</v>
      </c>
      <c r="B15" s="141">
        <v>0.57999999999999996</v>
      </c>
      <c r="C15" s="142">
        <f t="shared" si="0"/>
        <v>0.55499999999999994</v>
      </c>
      <c r="D15" s="62" t="s">
        <v>309</v>
      </c>
      <c r="E15" s="62">
        <v>3.7</v>
      </c>
      <c r="F15" s="6">
        <v>6.84</v>
      </c>
      <c r="G15" s="6">
        <v>9.4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>
        <v>0.57999999999999996</v>
      </c>
      <c r="B16" s="141">
        <v>0.63</v>
      </c>
      <c r="C16" s="142">
        <f t="shared" si="0"/>
        <v>0.60499999999999998</v>
      </c>
      <c r="D16" s="62" t="s">
        <v>310</v>
      </c>
      <c r="E16" s="62">
        <v>3.6</v>
      </c>
      <c r="F16" s="6">
        <v>6.68</v>
      </c>
      <c r="G16" s="6">
        <v>14.3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>
        <v>0.63</v>
      </c>
      <c r="B17" s="141">
        <v>0.68</v>
      </c>
      <c r="C17" s="142">
        <f t="shared" si="0"/>
        <v>0.65500000000000003</v>
      </c>
      <c r="D17" s="62" t="s">
        <v>311</v>
      </c>
      <c r="E17" s="62">
        <v>3.1</v>
      </c>
      <c r="F17" s="6">
        <v>5.84</v>
      </c>
      <c r="G17" s="6">
        <v>14.7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>
        <v>0.68</v>
      </c>
      <c r="B18" s="141">
        <v>0.73</v>
      </c>
      <c r="C18" s="142">
        <f t="shared" si="0"/>
        <v>0.70500000000000007</v>
      </c>
      <c r="D18" s="62" t="s">
        <v>312</v>
      </c>
      <c r="E18" s="62">
        <v>3.1</v>
      </c>
      <c r="F18" s="6">
        <v>5.87</v>
      </c>
      <c r="G18" s="6">
        <v>14.2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63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63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63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63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63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63"/>
      <c r="B25" s="6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63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10" sqref="C10:E10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81</v>
      </c>
      <c r="B1" s="65" t="s">
        <v>82</v>
      </c>
      <c r="C1" t="s">
        <v>83</v>
      </c>
      <c r="D1" s="66" t="s">
        <v>84</v>
      </c>
      <c r="E1" t="s">
        <v>85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88</v>
      </c>
      <c r="B2" s="67" t="s">
        <v>104</v>
      </c>
      <c r="C2" s="155" t="s">
        <v>96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102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7" sqref="F7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81</v>
      </c>
      <c r="B1" s="57" t="s">
        <v>82</v>
      </c>
      <c r="C1" s="6" t="s">
        <v>83</v>
      </c>
      <c r="D1" s="57" t="s">
        <v>84</v>
      </c>
      <c r="E1" s="6" t="s">
        <v>85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86</v>
      </c>
      <c r="B2" s="1" t="s">
        <v>87</v>
      </c>
      <c r="C2" s="1" t="s">
        <v>105</v>
      </c>
      <c r="D2" s="158" t="s">
        <v>106</v>
      </c>
      <c r="E2" s="158"/>
      <c r="F2" s="1" t="s">
        <v>96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107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/>
      <c r="B4" s="62"/>
      <c r="C4" s="6">
        <v>0.1</v>
      </c>
      <c r="D4" s="157" t="s">
        <v>182</v>
      </c>
      <c r="E4" s="15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</v>
      </c>
      <c r="B5" s="6">
        <v>0.1</v>
      </c>
      <c r="D5" s="157"/>
      <c r="E5" s="157"/>
      <c r="F5" s="6" t="s">
        <v>313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0.1</v>
      </c>
      <c r="B6" s="6">
        <v>0.3</v>
      </c>
      <c r="D6" s="157" t="s">
        <v>282</v>
      </c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0.1</v>
      </c>
      <c r="B7" s="6">
        <v>0.3</v>
      </c>
      <c r="C7"/>
      <c r="D7" s="157" t="s">
        <v>260</v>
      </c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81</v>
      </c>
      <c r="B1" s="57" t="s">
        <v>82</v>
      </c>
      <c r="C1" s="6" t="s">
        <v>83</v>
      </c>
      <c r="D1" s="57" t="s">
        <v>84</v>
      </c>
      <c r="E1" s="6" t="s">
        <v>85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86</v>
      </c>
      <c r="B2" s="1" t="s">
        <v>87</v>
      </c>
      <c r="C2" s="1" t="s">
        <v>88</v>
      </c>
      <c r="D2" s="1" t="s">
        <v>108</v>
      </c>
      <c r="E2" s="1" t="s">
        <v>109</v>
      </c>
      <c r="F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1" t="s">
        <v>95</v>
      </c>
      <c r="L2" s="1" t="s">
        <v>115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116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117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zoomScale="85" zoomScaleNormal="85" workbookViewId="0">
      <selection activeCell="G17" sqref="G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81</v>
      </c>
      <c r="B1" s="57" t="s">
        <v>82</v>
      </c>
      <c r="C1" s="6" t="s">
        <v>83</v>
      </c>
      <c r="D1" s="57" t="s">
        <v>84</v>
      </c>
      <c r="E1" s="6" t="s">
        <v>85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86</v>
      </c>
      <c r="B2" s="1" t="s">
        <v>87</v>
      </c>
      <c r="C2" s="1" t="s">
        <v>88</v>
      </c>
      <c r="D2" s="1" t="s">
        <v>118</v>
      </c>
      <c r="E2" s="1" t="s">
        <v>119</v>
      </c>
      <c r="F2" s="1" t="s">
        <v>120</v>
      </c>
      <c r="G2" s="1" t="s">
        <v>95</v>
      </c>
      <c r="H2" s="1" t="s">
        <v>115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152</v>
      </c>
      <c r="F3" s="60" t="s">
        <v>152</v>
      </c>
      <c r="G3" s="60" t="s">
        <v>314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>
        <v>0</v>
      </c>
      <c r="B4" s="141">
        <v>0.05</v>
      </c>
      <c r="C4" s="142">
        <f>AVERAGE(A4:B4)</f>
        <v>2.5000000000000001E-2</v>
      </c>
      <c r="D4" s="62" t="s">
        <v>299</v>
      </c>
      <c r="E4" s="6">
        <v>134.6</v>
      </c>
      <c r="F4" s="6">
        <v>3.3</v>
      </c>
      <c r="G4" s="143">
        <f>0.834*E4/(E4-F4)</f>
        <v>0.85496115765422698</v>
      </c>
      <c r="H4" s="6" t="s">
        <v>315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>
        <v>0.05</v>
      </c>
      <c r="B5" s="141">
        <v>0.1</v>
      </c>
      <c r="C5" s="142">
        <f t="shared" ref="C5:C17" si="0">AVERAGE(A5:B5)</f>
        <v>7.5000000000000011E-2</v>
      </c>
      <c r="D5" s="62" t="s">
        <v>300</v>
      </c>
      <c r="E5" s="6">
        <v>203.4</v>
      </c>
      <c r="F5" s="6">
        <v>1.5</v>
      </c>
      <c r="G5" s="143">
        <f t="shared" ref="G5:G17" si="1">0.834*E5/(E5-F5)</f>
        <v>0.8401961367013373</v>
      </c>
      <c r="H5" s="6" t="s">
        <v>315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>
        <v>0.1</v>
      </c>
      <c r="B6" s="141">
        <v>0.15</v>
      </c>
      <c r="C6" s="142">
        <f t="shared" si="0"/>
        <v>0.125</v>
      </c>
      <c r="D6" s="62" t="s">
        <v>301</v>
      </c>
      <c r="E6" s="6">
        <v>175.3</v>
      </c>
      <c r="F6" s="6">
        <v>2.5</v>
      </c>
      <c r="G6" s="143">
        <f t="shared" si="1"/>
        <v>0.84606597222222213</v>
      </c>
      <c r="H6" s="6" t="s">
        <v>315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>
        <v>0.15</v>
      </c>
      <c r="B7" s="141">
        <v>0.2</v>
      </c>
      <c r="C7" s="142">
        <f t="shared" si="0"/>
        <v>0.17499999999999999</v>
      </c>
      <c r="D7" s="62" t="s">
        <v>302</v>
      </c>
      <c r="E7" s="6">
        <v>229.1</v>
      </c>
      <c r="F7" s="6">
        <v>2.9</v>
      </c>
      <c r="G7" s="143">
        <f t="shared" si="1"/>
        <v>0.84469230769230763</v>
      </c>
      <c r="H7" s="6" t="s">
        <v>315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>
        <v>0.2</v>
      </c>
      <c r="B8" s="141">
        <v>0.25</v>
      </c>
      <c r="C8" s="142">
        <f t="shared" si="0"/>
        <v>0.22500000000000001</v>
      </c>
      <c r="D8" s="62" t="s">
        <v>303</v>
      </c>
      <c r="E8" s="6">
        <v>228.6</v>
      </c>
      <c r="F8" s="6">
        <v>7.65</v>
      </c>
      <c r="G8" s="143">
        <f t="shared" si="1"/>
        <v>0.86287576374745423</v>
      </c>
      <c r="H8" s="6" t="s">
        <v>315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>
        <v>0.25</v>
      </c>
      <c r="B9" s="141">
        <v>0.3</v>
      </c>
      <c r="C9" s="142">
        <f t="shared" si="0"/>
        <v>0.27500000000000002</v>
      </c>
      <c r="D9" s="62" t="s">
        <v>304</v>
      </c>
      <c r="E9" s="6">
        <v>228.8</v>
      </c>
      <c r="F9" s="6">
        <v>11.2</v>
      </c>
      <c r="G9" s="143">
        <f t="shared" si="1"/>
        <v>0.87692647058823514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>
        <v>0.3</v>
      </c>
      <c r="B10" s="141">
        <v>0.35</v>
      </c>
      <c r="C10" s="142">
        <f t="shared" si="0"/>
        <v>0.32499999999999996</v>
      </c>
      <c r="D10" s="62" t="s">
        <v>305</v>
      </c>
      <c r="E10" s="6">
        <v>280.39999999999998</v>
      </c>
      <c r="F10" s="6">
        <v>20.2</v>
      </c>
      <c r="G10" s="143">
        <f t="shared" si="1"/>
        <v>0.89874558032282847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>
        <v>0.35</v>
      </c>
      <c r="B11" s="141">
        <v>0.43</v>
      </c>
      <c r="C11" s="142">
        <f t="shared" si="0"/>
        <v>0.39</v>
      </c>
      <c r="D11" s="62" t="s">
        <v>306</v>
      </c>
      <c r="E11" s="6">
        <v>427.5</v>
      </c>
      <c r="F11" s="6">
        <v>36.1</v>
      </c>
      <c r="G11" s="143">
        <f t="shared" si="1"/>
        <v>0.91092233009708734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>
        <v>0.43</v>
      </c>
      <c r="B12" s="141">
        <v>0.48</v>
      </c>
      <c r="C12" s="142">
        <f t="shared" si="0"/>
        <v>0.45499999999999996</v>
      </c>
      <c r="D12" s="62" t="s">
        <v>307</v>
      </c>
      <c r="E12" s="6">
        <v>269.39999999999998</v>
      </c>
      <c r="F12" s="6">
        <v>24.4</v>
      </c>
      <c r="G12" s="143">
        <f t="shared" si="1"/>
        <v>0.91705959183673469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>
        <v>0.48</v>
      </c>
      <c r="B13" s="141">
        <v>0.53</v>
      </c>
      <c r="C13" s="142">
        <f t="shared" si="0"/>
        <v>0.505</v>
      </c>
      <c r="D13" s="62" t="s">
        <v>308</v>
      </c>
      <c r="E13" s="6">
        <v>274.3</v>
      </c>
      <c r="F13" s="6">
        <v>20.100000000000001</v>
      </c>
      <c r="G13" s="143">
        <f t="shared" si="1"/>
        <v>0.89994571203776552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>
        <v>0.53</v>
      </c>
      <c r="B14" s="141">
        <v>0.57999999999999996</v>
      </c>
      <c r="C14" s="142">
        <f t="shared" si="0"/>
        <v>0.55499999999999994</v>
      </c>
      <c r="D14" s="62" t="s">
        <v>309</v>
      </c>
      <c r="E14" s="6">
        <v>267.7</v>
      </c>
      <c r="F14" s="6">
        <v>21.9</v>
      </c>
      <c r="G14" s="143">
        <f t="shared" si="1"/>
        <v>0.90830675345809608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>
        <v>0.57999999999999996</v>
      </c>
      <c r="B15" s="141">
        <v>0.63</v>
      </c>
      <c r="C15" s="142">
        <f t="shared" si="0"/>
        <v>0.60499999999999998</v>
      </c>
      <c r="D15" s="62" t="s">
        <v>310</v>
      </c>
      <c r="E15" s="6">
        <v>299.39999999999998</v>
      </c>
      <c r="F15" s="6">
        <v>27.8</v>
      </c>
      <c r="G15" s="143">
        <f t="shared" si="1"/>
        <v>0.91936524300441824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>
        <v>0.63</v>
      </c>
      <c r="B16" s="141">
        <v>0.68</v>
      </c>
      <c r="C16" s="142">
        <f t="shared" si="0"/>
        <v>0.65500000000000003</v>
      </c>
      <c r="D16" s="62" t="s">
        <v>311</v>
      </c>
      <c r="E16" s="6">
        <v>257.3</v>
      </c>
      <c r="F16" s="6">
        <v>24</v>
      </c>
      <c r="G16" s="143">
        <f t="shared" si="1"/>
        <v>0.91979511358765531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>
        <v>0.68</v>
      </c>
      <c r="B17" s="141">
        <v>0.73</v>
      </c>
      <c r="C17" s="142">
        <f t="shared" si="0"/>
        <v>0.70500000000000007</v>
      </c>
      <c r="D17" s="62" t="s">
        <v>312</v>
      </c>
      <c r="E17" s="6">
        <v>257.5</v>
      </c>
      <c r="F17" s="6">
        <v>23.9</v>
      </c>
      <c r="G17" s="143">
        <f t="shared" si="1"/>
        <v>0.91932791095890409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H19" s="6" t="s">
        <v>317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H20" s="6" t="s">
        <v>316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H22" s="6" t="s">
        <v>318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disablePrompts="1"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81</v>
      </c>
      <c r="B1" s="14" t="s">
        <v>82</v>
      </c>
      <c r="C1" s="6" t="s">
        <v>83</v>
      </c>
      <c r="D1" s="14" t="s">
        <v>84</v>
      </c>
      <c r="E1" s="6" t="s">
        <v>85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86</v>
      </c>
      <c r="B2" s="58" t="s">
        <v>87</v>
      </c>
      <c r="C2" s="58" t="s">
        <v>108</v>
      </c>
      <c r="D2" s="58" t="s">
        <v>121</v>
      </c>
      <c r="E2" s="58" t="s">
        <v>122</v>
      </c>
      <c r="F2" s="162" t="s">
        <v>123</v>
      </c>
      <c r="G2" s="162"/>
      <c r="H2" s="162" t="s">
        <v>124</v>
      </c>
      <c r="I2" s="162"/>
      <c r="J2" s="163" t="s">
        <v>125</v>
      </c>
      <c r="K2" s="163"/>
      <c r="L2" s="162" t="s">
        <v>126</v>
      </c>
      <c r="M2" s="162"/>
      <c r="N2" s="163" t="s">
        <v>127</v>
      </c>
      <c r="O2" s="163"/>
      <c r="P2" s="161" t="s">
        <v>128</v>
      </c>
      <c r="Q2" s="161"/>
      <c r="R2" s="158" t="s">
        <v>129</v>
      </c>
      <c r="S2" s="158"/>
      <c r="T2" s="161" t="s">
        <v>130</v>
      </c>
      <c r="U2" s="161"/>
      <c r="V2" s="158" t="s">
        <v>131</v>
      </c>
      <c r="W2" s="158"/>
      <c r="X2" s="161" t="s">
        <v>132</v>
      </c>
      <c r="Y2" s="161"/>
      <c r="Z2" s="160" t="s">
        <v>133</v>
      </c>
      <c r="AA2" s="160"/>
      <c r="AB2" s="160" t="s">
        <v>134</v>
      </c>
      <c r="AC2" s="160"/>
      <c r="AD2" s="161" t="s">
        <v>135</v>
      </c>
      <c r="AE2" s="161"/>
      <c r="AF2" s="58" t="s">
        <v>96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97</v>
      </c>
      <c r="B3" s="58" t="s">
        <v>97</v>
      </c>
      <c r="C3" s="58" t="s">
        <v>97</v>
      </c>
      <c r="D3" s="58" t="s">
        <v>97</v>
      </c>
      <c r="E3" s="58" t="s">
        <v>97</v>
      </c>
      <c r="F3" s="76" t="s">
        <v>136</v>
      </c>
      <c r="G3" s="77" t="s">
        <v>137</v>
      </c>
      <c r="H3" s="76" t="s">
        <v>136</v>
      </c>
      <c r="I3" s="77" t="s">
        <v>97</v>
      </c>
      <c r="J3" s="58" t="s">
        <v>98</v>
      </c>
      <c r="K3" s="13" t="s">
        <v>97</v>
      </c>
      <c r="L3" s="76" t="s">
        <v>98</v>
      </c>
      <c r="M3" s="77" t="s">
        <v>97</v>
      </c>
      <c r="N3" s="58" t="s">
        <v>98</v>
      </c>
      <c r="O3" s="13" t="s">
        <v>97</v>
      </c>
      <c r="P3" s="76" t="s">
        <v>98</v>
      </c>
      <c r="Q3" s="77" t="s">
        <v>97</v>
      </c>
      <c r="R3" s="58" t="s">
        <v>98</v>
      </c>
      <c r="S3" s="13" t="s">
        <v>97</v>
      </c>
      <c r="T3" s="76" t="s">
        <v>98</v>
      </c>
      <c r="U3" s="77" t="s">
        <v>97</v>
      </c>
      <c r="V3" s="58" t="s">
        <v>98</v>
      </c>
      <c r="W3" s="13" t="s">
        <v>97</v>
      </c>
      <c r="X3" s="76" t="s">
        <v>98</v>
      </c>
      <c r="Y3" s="78" t="s">
        <v>97</v>
      </c>
      <c r="Z3" s="58" t="s">
        <v>98</v>
      </c>
      <c r="AA3" s="13" t="s">
        <v>97</v>
      </c>
      <c r="AB3" s="76" t="s">
        <v>98</v>
      </c>
      <c r="AC3" s="13" t="s">
        <v>97</v>
      </c>
      <c r="AD3" s="76" t="s">
        <v>98</v>
      </c>
      <c r="AE3" s="77" t="s">
        <v>97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138</v>
      </c>
      <c r="E4" s="60" t="s">
        <v>138</v>
      </c>
      <c r="F4" s="79" t="s">
        <v>1</v>
      </c>
      <c r="G4" s="80"/>
      <c r="H4" s="79" t="s">
        <v>1</v>
      </c>
      <c r="I4" s="80" t="s">
        <v>139</v>
      </c>
      <c r="J4" s="60" t="s">
        <v>1</v>
      </c>
      <c r="K4" s="60" t="s">
        <v>139</v>
      </c>
      <c r="L4" s="79"/>
      <c r="M4" s="80" t="s">
        <v>140</v>
      </c>
      <c r="N4" s="60" t="s">
        <v>140</v>
      </c>
      <c r="O4" s="60"/>
      <c r="P4" s="79" t="s">
        <v>140</v>
      </c>
      <c r="Q4" s="80"/>
      <c r="R4" s="60" t="s">
        <v>140</v>
      </c>
      <c r="S4" s="60"/>
      <c r="T4" s="79" t="s">
        <v>140</v>
      </c>
      <c r="U4" s="80"/>
      <c r="V4" s="60" t="s">
        <v>140</v>
      </c>
      <c r="W4" s="60"/>
      <c r="X4" s="79" t="s">
        <v>140</v>
      </c>
      <c r="Y4" s="80"/>
      <c r="Z4" s="60" t="s">
        <v>140</v>
      </c>
      <c r="AA4" s="60"/>
      <c r="AB4" s="79"/>
      <c r="AC4" s="60" t="s">
        <v>140</v>
      </c>
      <c r="AD4" s="79"/>
      <c r="AE4" s="80" t="s">
        <v>140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81</v>
      </c>
      <c r="B1" s="57" t="s">
        <v>82</v>
      </c>
      <c r="C1" s="6" t="s">
        <v>83</v>
      </c>
      <c r="E1" s="57" t="s">
        <v>84</v>
      </c>
      <c r="F1" s="6" t="s">
        <v>85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86</v>
      </c>
      <c r="B2" s="58" t="s">
        <v>87</v>
      </c>
      <c r="C2" s="58" t="s">
        <v>88</v>
      </c>
      <c r="D2" s="58" t="s">
        <v>89</v>
      </c>
      <c r="E2" s="58" t="s">
        <v>90</v>
      </c>
      <c r="F2" s="58" t="s">
        <v>91</v>
      </c>
      <c r="G2" s="58" t="s">
        <v>91</v>
      </c>
      <c r="H2" s="58" t="s">
        <v>92</v>
      </c>
      <c r="I2" s="1" t="s">
        <v>93</v>
      </c>
      <c r="J2" s="1" t="s">
        <v>93</v>
      </c>
      <c r="K2" s="1" t="s">
        <v>94</v>
      </c>
      <c r="L2" s="1" t="s">
        <v>94</v>
      </c>
      <c r="M2" s="58" t="s">
        <v>96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97</v>
      </c>
      <c r="B3" s="58" t="s">
        <v>97</v>
      </c>
      <c r="C3" s="58" t="s">
        <v>97</v>
      </c>
      <c r="D3" s="58" t="s">
        <v>98</v>
      </c>
      <c r="E3" s="58" t="s">
        <v>97</v>
      </c>
      <c r="F3" s="58" t="s">
        <v>97</v>
      </c>
      <c r="G3" s="58" t="s">
        <v>141</v>
      </c>
      <c r="H3" s="58"/>
      <c r="I3" s="58" t="s">
        <v>98</v>
      </c>
      <c r="J3" s="58" t="s">
        <v>97</v>
      </c>
      <c r="K3" s="58" t="s">
        <v>98</v>
      </c>
      <c r="L3" s="58" t="s">
        <v>97</v>
      </c>
      <c r="M3" s="58" t="s">
        <v>97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100</v>
      </c>
      <c r="F4" s="61" t="s">
        <v>101</v>
      </c>
      <c r="G4" s="60" t="s">
        <v>102</v>
      </c>
      <c r="H4" s="61" t="s">
        <v>101</v>
      </c>
      <c r="I4" s="60" t="s">
        <v>1</v>
      </c>
      <c r="J4" s="60" t="s">
        <v>100</v>
      </c>
      <c r="K4" s="60" t="s">
        <v>1</v>
      </c>
      <c r="L4" s="60" t="s">
        <v>100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86</v>
      </c>
      <c r="B1" s="58" t="s">
        <v>87</v>
      </c>
      <c r="C1" s="19"/>
      <c r="D1" s="58" t="s">
        <v>90</v>
      </c>
      <c r="E1" s="58" t="s">
        <v>91</v>
      </c>
      <c r="F1" s="58" t="s">
        <v>91</v>
      </c>
      <c r="G1" s="58" t="s">
        <v>92</v>
      </c>
      <c r="H1" s="158" t="s">
        <v>93</v>
      </c>
      <c r="I1" s="158"/>
      <c r="J1" s="158" t="s">
        <v>94</v>
      </c>
      <c r="K1" s="158"/>
      <c r="L1" s="60"/>
      <c r="M1" s="58" t="s">
        <v>96</v>
      </c>
      <c r="N1" s="9"/>
      <c r="O1" s="19" t="s">
        <v>142</v>
      </c>
      <c r="P1" s="19"/>
      <c r="Q1" s="9"/>
      <c r="R1" s="162" t="s">
        <v>123</v>
      </c>
      <c r="S1" s="162"/>
      <c r="T1" s="9"/>
      <c r="U1" s="58" t="s">
        <v>86</v>
      </c>
      <c r="V1" s="58" t="s">
        <v>87</v>
      </c>
      <c r="W1" s="19"/>
      <c r="X1" s="9"/>
      <c r="Y1" s="164" t="s">
        <v>143</v>
      </c>
      <c r="Z1" s="164"/>
      <c r="AA1" s="164"/>
      <c r="AB1" s="9"/>
      <c r="AC1" s="165" t="s">
        <v>144</v>
      </c>
      <c r="AD1" s="165"/>
      <c r="AE1" s="9"/>
    </row>
    <row r="2" spans="1:31" ht="41.4">
      <c r="A2" s="58" t="s">
        <v>97</v>
      </c>
      <c r="B2" s="58" t="s">
        <v>97</v>
      </c>
      <c r="C2" s="58" t="s">
        <v>145</v>
      </c>
      <c r="D2" s="58" t="s">
        <v>97</v>
      </c>
      <c r="E2" s="58" t="s">
        <v>97</v>
      </c>
      <c r="F2" s="58" t="s">
        <v>141</v>
      </c>
      <c r="G2" s="58"/>
      <c r="H2" s="58" t="s">
        <v>98</v>
      </c>
      <c r="I2" s="58" t="s">
        <v>97</v>
      </c>
      <c r="J2" s="58" t="s">
        <v>98</v>
      </c>
      <c r="K2" s="58" t="s">
        <v>97</v>
      </c>
      <c r="L2" s="1" t="s">
        <v>146</v>
      </c>
      <c r="M2" s="58" t="s">
        <v>95</v>
      </c>
      <c r="N2" s="9"/>
      <c r="O2" s="88" t="s">
        <v>147</v>
      </c>
      <c r="P2" s="88" t="s">
        <v>104</v>
      </c>
      <c r="Q2" s="9"/>
      <c r="R2" s="76" t="s">
        <v>136</v>
      </c>
      <c r="S2" s="77" t="s">
        <v>137</v>
      </c>
      <c r="T2" s="9"/>
      <c r="U2" s="58" t="s">
        <v>97</v>
      </c>
      <c r="V2" s="58" t="s">
        <v>97</v>
      </c>
      <c r="W2" s="58" t="s">
        <v>145</v>
      </c>
      <c r="X2" s="9"/>
      <c r="Y2" s="58" t="s">
        <v>148</v>
      </c>
      <c r="Z2" s="58" t="s">
        <v>149</v>
      </c>
      <c r="AA2" s="58"/>
      <c r="AB2" s="9"/>
      <c r="AC2" s="19" t="s">
        <v>150</v>
      </c>
      <c r="AD2" s="19" t="s">
        <v>41</v>
      </c>
      <c r="AE2" s="9"/>
    </row>
    <row r="3" spans="1:31" ht="14.4">
      <c r="A3" s="88" t="s">
        <v>8</v>
      </c>
      <c r="B3" s="88" t="s">
        <v>8</v>
      </c>
      <c r="C3" s="88"/>
      <c r="D3" s="60" t="s">
        <v>100</v>
      </c>
      <c r="E3" s="61" t="s">
        <v>151</v>
      </c>
      <c r="F3" s="60" t="s">
        <v>102</v>
      </c>
      <c r="G3" s="61" t="s">
        <v>101</v>
      </c>
      <c r="H3" s="60" t="s">
        <v>1</v>
      </c>
      <c r="I3" s="60" t="s">
        <v>100</v>
      </c>
      <c r="J3" s="60" t="s">
        <v>1</v>
      </c>
      <c r="K3" s="60" t="s">
        <v>100</v>
      </c>
      <c r="L3" s="60" t="s">
        <v>152</v>
      </c>
      <c r="M3" s="61" t="s">
        <v>153</v>
      </c>
      <c r="N3" s="9"/>
      <c r="O3" s="88" t="s">
        <v>8</v>
      </c>
      <c r="P3" s="88" t="s">
        <v>56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154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81</v>
      </c>
      <c r="B1" s="65" t="s">
        <v>82</v>
      </c>
      <c r="C1" s="92" t="s">
        <v>83</v>
      </c>
      <c r="D1" s="66" t="s">
        <v>84</v>
      </c>
      <c r="E1" s="92" t="s">
        <v>85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86</v>
      </c>
      <c r="B2" s="67" t="s">
        <v>87</v>
      </c>
      <c r="C2" s="67" t="s">
        <v>88</v>
      </c>
      <c r="D2" s="67" t="s">
        <v>90</v>
      </c>
      <c r="E2" s="67" t="s">
        <v>121</v>
      </c>
      <c r="F2" s="67" t="s">
        <v>155</v>
      </c>
      <c r="G2" s="67" t="s">
        <v>156</v>
      </c>
      <c r="H2" s="67" t="s">
        <v>96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97</v>
      </c>
      <c r="B3" s="67" t="s">
        <v>97</v>
      </c>
      <c r="C3" s="67" t="s">
        <v>97</v>
      </c>
      <c r="D3" s="67" t="s">
        <v>97</v>
      </c>
      <c r="E3" s="67" t="s">
        <v>97</v>
      </c>
      <c r="F3" s="67" t="s">
        <v>97</v>
      </c>
      <c r="G3" s="67" t="s">
        <v>97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100</v>
      </c>
      <c r="E4" s="94" t="s">
        <v>157</v>
      </c>
      <c r="F4" s="94" t="s">
        <v>152</v>
      </c>
      <c r="G4" s="94" t="s">
        <v>152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81</v>
      </c>
      <c r="B1" s="99" t="s">
        <v>82</v>
      </c>
      <c r="C1" s="95" t="s">
        <v>83</v>
      </c>
      <c r="D1" s="99" t="s">
        <v>84</v>
      </c>
      <c r="E1" s="95" t="s">
        <v>85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86</v>
      </c>
      <c r="B2" s="104" t="s">
        <v>87</v>
      </c>
      <c r="C2" s="104" t="s">
        <v>88</v>
      </c>
      <c r="D2" s="104" t="s">
        <v>158</v>
      </c>
      <c r="E2" s="104" t="s">
        <v>159</v>
      </c>
      <c r="F2" s="105" t="s">
        <v>160</v>
      </c>
      <c r="G2" s="106" t="s">
        <v>161</v>
      </c>
      <c r="H2" s="104" t="s">
        <v>162</v>
      </c>
      <c r="I2" s="104" t="s">
        <v>163</v>
      </c>
      <c r="J2" s="106" t="s">
        <v>164</v>
      </c>
      <c r="K2" s="104" t="s">
        <v>164</v>
      </c>
      <c r="L2" s="104" t="s">
        <v>164</v>
      </c>
      <c r="M2" s="104" t="s">
        <v>164</v>
      </c>
      <c r="N2" s="105" t="s">
        <v>164</v>
      </c>
      <c r="O2" s="106" t="s">
        <v>165</v>
      </c>
      <c r="P2" s="104" t="s">
        <v>165</v>
      </c>
      <c r="Q2" s="104" t="s">
        <v>165</v>
      </c>
      <c r="R2" s="104" t="s">
        <v>165</v>
      </c>
      <c r="S2" s="105" t="s">
        <v>165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97</v>
      </c>
      <c r="B3" s="107" t="s">
        <v>97</v>
      </c>
      <c r="C3" s="107" t="s">
        <v>97</v>
      </c>
      <c r="D3" s="107" t="s">
        <v>97</v>
      </c>
      <c r="E3" s="107" t="s">
        <v>97</v>
      </c>
      <c r="F3" s="108" t="s">
        <v>97</v>
      </c>
      <c r="G3" s="104" t="s">
        <v>97</v>
      </c>
      <c r="H3" s="104" t="s">
        <v>97</v>
      </c>
      <c r="I3" s="104" t="s">
        <v>97</v>
      </c>
      <c r="J3" s="106" t="s">
        <v>98</v>
      </c>
      <c r="K3" s="104" t="s">
        <v>166</v>
      </c>
      <c r="L3" s="109" t="s">
        <v>167</v>
      </c>
      <c r="M3" s="67" t="s">
        <v>168</v>
      </c>
      <c r="N3" s="110" t="s">
        <v>92</v>
      </c>
      <c r="O3" s="106" t="s">
        <v>98</v>
      </c>
      <c r="P3" s="104" t="s">
        <v>90</v>
      </c>
      <c r="Q3" s="109" t="s">
        <v>167</v>
      </c>
      <c r="R3" s="67" t="s">
        <v>168</v>
      </c>
      <c r="S3" s="110" t="s">
        <v>92</v>
      </c>
      <c r="T3" s="104" t="s">
        <v>115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116</v>
      </c>
      <c r="F4" s="113" t="s">
        <v>116</v>
      </c>
      <c r="G4" s="114" t="s">
        <v>116</v>
      </c>
      <c r="H4" s="111" t="s">
        <v>116</v>
      </c>
      <c r="I4" s="111" t="s">
        <v>116</v>
      </c>
      <c r="J4" s="114" t="s">
        <v>1</v>
      </c>
      <c r="K4" s="115" t="s">
        <v>100</v>
      </c>
      <c r="L4" s="116" t="s">
        <v>101</v>
      </c>
      <c r="M4" s="69" t="s">
        <v>102</v>
      </c>
      <c r="N4" s="117" t="s">
        <v>101</v>
      </c>
      <c r="O4" s="114" t="s">
        <v>1</v>
      </c>
      <c r="P4" s="115" t="s">
        <v>100</v>
      </c>
      <c r="Q4" s="116" t="s">
        <v>101</v>
      </c>
      <c r="R4" s="69" t="s">
        <v>102</v>
      </c>
      <c r="S4" s="117" t="s">
        <v>101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169</v>
      </c>
      <c r="B1" s="137" t="s">
        <v>170</v>
      </c>
      <c r="C1" s="137" t="s">
        <v>171</v>
      </c>
      <c r="D1" s="137" t="s">
        <v>172</v>
      </c>
      <c r="E1" s="137" t="s">
        <v>173</v>
      </c>
      <c r="F1" s="137" t="s">
        <v>174</v>
      </c>
      <c r="G1" s="137" t="s">
        <v>175</v>
      </c>
      <c r="H1" s="137" t="s">
        <v>176</v>
      </c>
      <c r="I1" s="166" t="s">
        <v>177</v>
      </c>
      <c r="J1" s="166"/>
      <c r="K1" s="166"/>
      <c r="L1" s="166"/>
      <c r="M1" s="137" t="s">
        <v>178</v>
      </c>
    </row>
    <row r="2" spans="1:13">
      <c r="A2" t="s">
        <v>179</v>
      </c>
      <c r="B2" t="s">
        <v>53</v>
      </c>
      <c r="C2" t="s">
        <v>180</v>
      </c>
      <c r="D2" t="s">
        <v>49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K2" t="s">
        <v>186</v>
      </c>
      <c r="M2" t="s">
        <v>187</v>
      </c>
    </row>
    <row r="3" spans="1:13">
      <c r="A3" t="s">
        <v>188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</row>
    <row r="4" spans="1:13">
      <c r="A4" t="s">
        <v>201</v>
      </c>
      <c r="B4" t="s">
        <v>202</v>
      </c>
      <c r="C4" t="s">
        <v>203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K4" t="s">
        <v>209</v>
      </c>
      <c r="L4" t="s">
        <v>210</v>
      </c>
      <c r="M4" s="138" t="s">
        <v>211</v>
      </c>
    </row>
    <row r="5" spans="1:13">
      <c r="A5" t="s">
        <v>212</v>
      </c>
      <c r="B5" t="s">
        <v>202</v>
      </c>
      <c r="C5" t="s">
        <v>47</v>
      </c>
      <c r="D5" t="s">
        <v>213</v>
      </c>
      <c r="E5" t="s">
        <v>51</v>
      </c>
      <c r="F5" t="s">
        <v>214</v>
      </c>
      <c r="G5" t="s">
        <v>215</v>
      </c>
      <c r="H5" t="s">
        <v>216</v>
      </c>
      <c r="I5" t="s">
        <v>217</v>
      </c>
      <c r="J5" t="s">
        <v>218</v>
      </c>
      <c r="M5" s="138" t="s">
        <v>219</v>
      </c>
    </row>
    <row r="6" spans="1:13">
      <c r="A6" t="s">
        <v>220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M6" s="138" t="s">
        <v>230</v>
      </c>
    </row>
    <row r="7" spans="1:13">
      <c r="A7" t="s">
        <v>231</v>
      </c>
      <c r="B7" t="s">
        <v>232</v>
      </c>
      <c r="D7" t="s">
        <v>233</v>
      </c>
      <c r="F7" t="s">
        <v>234</v>
      </c>
      <c r="G7" t="s">
        <v>235</v>
      </c>
      <c r="H7" t="s">
        <v>236</v>
      </c>
      <c r="M7" s="138" t="s">
        <v>237</v>
      </c>
    </row>
    <row r="8" spans="1:13">
      <c r="A8" t="s">
        <v>238</v>
      </c>
      <c r="B8" t="s">
        <v>239</v>
      </c>
      <c r="D8" t="s">
        <v>240</v>
      </c>
      <c r="F8" t="s">
        <v>241</v>
      </c>
      <c r="G8" t="s">
        <v>242</v>
      </c>
      <c r="H8" t="s">
        <v>243</v>
      </c>
      <c r="M8" s="138" t="s">
        <v>244</v>
      </c>
    </row>
    <row r="9" spans="1:13">
      <c r="A9" t="s">
        <v>245</v>
      </c>
      <c r="B9" t="s">
        <v>246</v>
      </c>
      <c r="D9" t="s">
        <v>247</v>
      </c>
      <c r="F9" t="s">
        <v>248</v>
      </c>
      <c r="G9" t="s">
        <v>249</v>
      </c>
      <c r="H9" t="s">
        <v>250</v>
      </c>
      <c r="M9" s="138" t="s">
        <v>251</v>
      </c>
    </row>
    <row r="10" spans="1:13">
      <c r="A10" t="s">
        <v>252</v>
      </c>
      <c r="B10" t="s">
        <v>253</v>
      </c>
      <c r="D10" t="s">
        <v>254</v>
      </c>
      <c r="F10" t="s">
        <v>255</v>
      </c>
      <c r="H10" t="s">
        <v>256</v>
      </c>
      <c r="M10" s="138" t="s">
        <v>257</v>
      </c>
    </row>
    <row r="11" spans="1:13">
      <c r="A11" t="s">
        <v>258</v>
      </c>
      <c r="B11" t="s">
        <v>259</v>
      </c>
      <c r="F11" t="s">
        <v>260</v>
      </c>
      <c r="H11" t="s">
        <v>261</v>
      </c>
      <c r="M11" s="138" t="s">
        <v>262</v>
      </c>
    </row>
    <row r="12" spans="1:13">
      <c r="A12" t="s">
        <v>263</v>
      </c>
      <c r="B12" t="s">
        <v>264</v>
      </c>
      <c r="F12" t="s">
        <v>265</v>
      </c>
      <c r="H12" t="s">
        <v>266</v>
      </c>
      <c r="M12" s="138" t="s">
        <v>267</v>
      </c>
    </row>
    <row r="13" spans="1:13">
      <c r="A13" t="s">
        <v>268</v>
      </c>
      <c r="B13" t="s">
        <v>269</v>
      </c>
      <c r="F13" t="s">
        <v>270</v>
      </c>
      <c r="H13" t="s">
        <v>271</v>
      </c>
    </row>
    <row r="14" spans="1:13" ht="14.4">
      <c r="A14" s="139" t="s">
        <v>3</v>
      </c>
      <c r="B14" t="s">
        <v>272</v>
      </c>
      <c r="F14" t="s">
        <v>273</v>
      </c>
    </row>
    <row r="15" spans="1:13" ht="14.4">
      <c r="A15" s="139" t="s">
        <v>274</v>
      </c>
      <c r="B15" t="s">
        <v>275</v>
      </c>
      <c r="F15" t="s">
        <v>276</v>
      </c>
    </row>
    <row r="16" spans="1:13" ht="14.4">
      <c r="A16" s="139" t="s">
        <v>277</v>
      </c>
      <c r="B16" t="s">
        <v>278</v>
      </c>
      <c r="F16" t="s">
        <v>279</v>
      </c>
    </row>
    <row r="17" spans="1:6">
      <c r="A17" t="s">
        <v>280</v>
      </c>
      <c r="B17" t="s">
        <v>281</v>
      </c>
      <c r="F17" t="s">
        <v>282</v>
      </c>
    </row>
    <row r="18" spans="1:6">
      <c r="A18" t="s">
        <v>283</v>
      </c>
      <c r="B18" t="s">
        <v>284</v>
      </c>
      <c r="F18" t="s">
        <v>285</v>
      </c>
    </row>
    <row r="19" spans="1:6">
      <c r="A19" t="s">
        <v>286</v>
      </c>
      <c r="B19" t="s">
        <v>287</v>
      </c>
      <c r="D19" s="140"/>
      <c r="E19" s="140"/>
      <c r="F19" t="s">
        <v>288</v>
      </c>
    </row>
    <row r="20" spans="1:6">
      <c r="A20" t="s">
        <v>289</v>
      </c>
      <c r="B20" t="s">
        <v>290</v>
      </c>
      <c r="D20" s="140"/>
      <c r="E20" s="140"/>
    </row>
    <row r="21" spans="1:6">
      <c r="A21" t="s">
        <v>291</v>
      </c>
      <c r="B21" t="s">
        <v>225</v>
      </c>
      <c r="D21" s="140"/>
      <c r="E21" s="140"/>
    </row>
    <row r="22" spans="1:6">
      <c r="A22" t="s">
        <v>292</v>
      </c>
    </row>
    <row r="23" spans="1:6">
      <c r="A23" t="s">
        <v>293</v>
      </c>
    </row>
    <row r="24" spans="1:6">
      <c r="A24" t="s">
        <v>294</v>
      </c>
    </row>
    <row r="25" spans="1:6">
      <c r="A25" t="s">
        <v>295</v>
      </c>
    </row>
    <row r="26" spans="1:6">
      <c r="A26" t="s">
        <v>296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2025-07-16T09:07:13Z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